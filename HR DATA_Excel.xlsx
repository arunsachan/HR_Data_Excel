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cha\Documents\Data Analyst Professional Projects\MS-Excel Project\"/>
    </mc:Choice>
  </mc:AlternateContent>
  <xr:revisionPtr revIDLastSave="0" documentId="13_ncr:1_{DFF5E06B-CF21-4A4A-842B-5ACA9D03EA9A}" xr6:coauthVersionLast="47" xr6:coauthVersionMax="47" xr10:uidLastSave="{00000000-0000-0000-0000-000000000000}"/>
  <bookViews>
    <workbookView xWindow="-108" yWindow="-108" windowWidth="23256" windowHeight="12456" firstSheet="7" activeTab="7" xr2:uid="{00000000-000D-0000-FFFF-FFFF00000000}"/>
  </bookViews>
  <sheets>
    <sheet name="KPI" sheetId="7" r:id="rId1"/>
    <sheet name="Rating" sheetId="8" r:id="rId2"/>
    <sheet name="Gender" sheetId="9" r:id="rId3"/>
    <sheet name="Sheet1" sheetId="15" r:id="rId4"/>
    <sheet name="Education By Attrition" sheetId="10" r:id="rId5"/>
    <sheet name="Attrition By Job" sheetId="11" r:id="rId6"/>
    <sheet name="Dept Wise Attrition" sheetId="12" r:id="rId7"/>
    <sheet name="Attrition By Age Group" sheetId="13" r:id="rId8"/>
    <sheet name="Marital Status" sheetId="14" r:id="rId9"/>
    <sheet name="Data" sheetId="1" r:id="rId10"/>
    <sheet name="Images" sheetId="2" r:id="rId11"/>
    <sheet name="Background 1" sheetId="3" r:id="rId12"/>
    <sheet name="Background 2" sheetId="4" r:id="rId13"/>
    <sheet name="Background 3" sheetId="5" r:id="rId14"/>
    <sheet name="Background 4" sheetId="6" r:id="rId15"/>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#N/A</definedName>
    <definedName name="Slicer_Education_Field1">#N/A</definedName>
    <definedName name="Slicer_Gender">#N/A</definedName>
    <definedName name="Slicer_Gender1">#N/A</definedName>
    <definedName name="Slicer_Gender2">#N/A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3" roundtripDataChecksum="0W7NtiAel2xy0cZdwUBcRsMoEuXg6pzXui43o1bypBA="/>
    </ext>
  </extLst>
</workbook>
</file>

<file path=xl/calcChain.xml><?xml version="1.0" encoding="utf-8"?>
<calcChain xmlns="http://schemas.openxmlformats.org/spreadsheetml/2006/main">
  <c r="E5" i="14" l="1"/>
  <c r="E6" i="14"/>
  <c r="E4" i="14"/>
  <c r="D5" i="14"/>
  <c r="D6" i="14"/>
  <c r="D4" i="14"/>
  <c r="E5" i="11"/>
  <c r="E6" i="11"/>
  <c r="E7" i="11"/>
  <c r="E8" i="11"/>
  <c r="E9" i="11"/>
  <c r="E10" i="11"/>
  <c r="E11" i="11"/>
  <c r="E12" i="11"/>
  <c r="E4" i="11"/>
  <c r="D5" i="11"/>
  <c r="D6" i="11"/>
  <c r="D7" i="11"/>
  <c r="D8" i="11"/>
  <c r="D9" i="11"/>
  <c r="D10" i="11"/>
  <c r="D11" i="11"/>
  <c r="D12" i="11"/>
  <c r="D4" i="11"/>
  <c r="B6" i="8"/>
  <c r="C7" i="7"/>
  <c r="B7" i="7"/>
  <c r="E7" i="7" s="1"/>
  <c r="A7" i="7"/>
  <c r="D7" i="7" s="1"/>
  <c r="B8" i="9"/>
  <c r="B9" i="9"/>
  <c r="C9" i="9" l="1"/>
  <c r="C8" i="9"/>
  <c r="B7" i="8"/>
  <c r="C7" i="8" s="1"/>
  <c r="C6" i="8"/>
</calcChain>
</file>

<file path=xl/sharedStrings.xml><?xml version="1.0" encoding="utf-8"?>
<sst xmlns="http://schemas.openxmlformats.org/spreadsheetml/2006/main" count="19219" uniqueCount="1570">
  <si>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</si>
  <si>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</si>
  <si>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</si>
  <si>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</si>
  <si>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</si>
  <si>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</si>
  <si>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</si>
  <si>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</si>
  <si>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</si>
  <si>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</si>
  <si>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</si>
  <si>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</si>
  <si>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</si>
  <si>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</si>
  <si>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</si>
  <si>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</si>
  <si>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</si>
  <si>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</si>
  <si>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</si>
  <si>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</si>
  <si>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</si>
  <si>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</si>
  <si>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</si>
  <si>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</si>
  <si>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</si>
  <si>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</si>
  <si>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</si>
  <si>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</si>
  <si>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</si>
  <si>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</si>
  <si>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</si>
  <si>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</si>
  <si>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</si>
  <si>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</si>
  <si>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</si>
  <si>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</si>
  <si>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</si>
  <si>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</si>
  <si>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</si>
  <si>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</si>
  <si>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</si>
  <si>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</si>
  <si>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</si>
  <si>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</si>
  <si>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</si>
  <si>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</si>
  <si>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</si>
  <si>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</si>
  <si>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</si>
  <si>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</si>
  <si>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</si>
  <si>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</si>
  <si>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</si>
  <si>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</si>
  <si>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</si>
  <si>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</si>
  <si>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</si>
  <si>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</si>
  <si>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</si>
  <si>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</si>
  <si>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</si>
  <si>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</si>
  <si>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</si>
  <si>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</si>
  <si>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</si>
  <si>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</si>
  <si>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</si>
  <si>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</si>
  <si>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</si>
  <si>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</si>
  <si>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</si>
  <si>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</si>
  <si>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</si>
  <si>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</si>
  <si>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</si>
  <si>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</si>
  <si>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</si>
  <si>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</si>
  <si>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</si>
  <si>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</si>
  <si>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</si>
  <si>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</si>
  <si>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</si>
  <si>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</si>
  <si>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</si>
  <si>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</si>
  <si>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</si>
  <si>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</si>
  <si>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</si>
  <si>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</si>
  <si>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</si>
  <si>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</si>
  <si>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</si>
  <si>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</si>
  <si>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</si>
  <si>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</si>
  <si>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</si>
  <si>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</si>
  <si>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</si>
  <si>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</si>
  <si>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</si>
  <si>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</si>
  <si>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</si>
  <si>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</si>
  <si>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</si>
  <si>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</si>
  <si>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</si>
  <si>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</si>
  <si>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</si>
  <si>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</si>
  <si>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</si>
  <si>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</si>
  <si>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</si>
  <si>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</si>
  <si>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</si>
  <si>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</si>
  <si>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</si>
  <si>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</si>
  <si>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</si>
  <si>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</si>
  <si>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</si>
  <si>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</si>
  <si>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</si>
  <si>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</si>
  <si>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</si>
  <si>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</si>
  <si>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</si>
  <si>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</si>
  <si>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</si>
  <si>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</si>
  <si>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</si>
  <si>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</si>
  <si>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</si>
  <si>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</si>
  <si>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</si>
  <si>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</si>
  <si>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</si>
  <si>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</si>
  <si>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</si>
  <si>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</si>
  <si>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</si>
  <si>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</si>
  <si>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</si>
  <si>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</si>
  <si>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</si>
  <si>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</si>
  <si>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</si>
  <si>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</si>
  <si>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</si>
  <si>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</si>
  <si>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</si>
  <si>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</si>
  <si>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</si>
  <si>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</si>
  <si>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</si>
  <si>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</si>
  <si>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</si>
  <si>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</si>
  <si>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</si>
  <si>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</si>
  <si>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</si>
  <si>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</si>
  <si>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</si>
  <si>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</si>
  <si>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</si>
  <si>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</si>
  <si>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</si>
  <si>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</si>
  <si>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</si>
  <si>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</si>
  <si>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</si>
  <si>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</si>
  <si>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</si>
  <si>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</si>
  <si>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</si>
  <si>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</si>
  <si>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</si>
  <si>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</si>
  <si>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</si>
  <si>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</si>
  <si>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</si>
  <si>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</si>
  <si>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</si>
  <si>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</si>
  <si>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</si>
  <si>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</si>
  <si>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</si>
  <si>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</si>
  <si>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</si>
  <si>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</si>
  <si>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</si>
  <si>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</si>
  <si>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</si>
  <si>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</si>
  <si>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</si>
  <si>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</si>
  <si>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</si>
  <si>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</si>
  <si>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</si>
  <si>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</si>
  <si>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</si>
  <si>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</si>
  <si>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</si>
  <si>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</si>
  <si>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</si>
  <si>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</si>
  <si>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</si>
  <si>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</si>
  <si>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</si>
  <si>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</si>
  <si>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</si>
  <si>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</si>
  <si>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</si>
  <si>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</si>
  <si>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</si>
  <si>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</si>
  <si>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</si>
  <si>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</si>
  <si>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</si>
  <si>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</si>
  <si>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</si>
  <si>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</si>
  <si>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</si>
  <si>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</si>
  <si>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</si>
  <si>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</si>
  <si>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</si>
  <si>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</si>
  <si>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</si>
  <si>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</si>
  <si>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</si>
  <si>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</si>
  <si>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</si>
  <si>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</si>
  <si>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</si>
  <si>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</si>
  <si>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</si>
  <si>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</si>
  <si>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</si>
  <si>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</si>
  <si>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</si>
  <si>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</si>
  <si>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</si>
  <si>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</si>
  <si>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</si>
  <si>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</si>
  <si>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</si>
  <si>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</si>
  <si>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</si>
  <si>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</si>
  <si>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</si>
  <si>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</si>
  <si>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</si>
  <si>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</si>
  <si>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</si>
  <si>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</si>
  <si>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</si>
  <si>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</si>
  <si>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</si>
  <si>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</si>
  <si>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</si>
  <si>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</si>
  <si>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</si>
  <si>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</si>
  <si>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</si>
  <si>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</si>
  <si>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</si>
  <si>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</si>
  <si>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</si>
  <si>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</si>
  <si>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</si>
  <si>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</si>
  <si>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</si>
  <si>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</si>
  <si>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</si>
  <si>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</si>
  <si>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</si>
  <si>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</si>
  <si>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</si>
  <si>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</si>
  <si>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</si>
  <si>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</si>
  <si>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</si>
  <si>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</si>
  <si>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</si>
  <si>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</si>
  <si>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</si>
  <si>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</si>
  <si>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</si>
  <si>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</si>
  <si>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</si>
  <si>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</si>
  <si>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</si>
  <si>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</si>
  <si>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</si>
  <si>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</si>
  <si>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</si>
  <si>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</si>
  <si>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</si>
  <si>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</si>
  <si>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</si>
  <si>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</si>
  <si>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</si>
  <si>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</si>
  <si>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</si>
  <si>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</si>
  <si>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</si>
  <si>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</si>
  <si>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</si>
  <si>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</si>
  <si>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</si>
  <si>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</si>
  <si>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</si>
  <si>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</si>
  <si>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</si>
  <si>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</si>
  <si>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</si>
  <si>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</si>
  <si>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</si>
  <si>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</si>
  <si>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</si>
  <si>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</si>
  <si>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</si>
  <si>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</si>
  <si>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</si>
  <si>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</si>
  <si>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</si>
  <si>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</si>
  <si>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</si>
  <si>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</si>
  <si>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</si>
  <si>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</si>
  <si>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</si>
  <si>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</si>
  <si>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</si>
  <si>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</si>
  <si>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</si>
  <si>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</si>
  <si>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</si>
  <si>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</si>
  <si>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</si>
  <si>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</si>
  <si>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</si>
  <si>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</si>
  <si>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</si>
  <si>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</si>
  <si>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</si>
  <si>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</si>
  <si>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</si>
  <si>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</si>
  <si>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</si>
  <si>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</si>
  <si>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</si>
  <si>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</si>
  <si>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</si>
  <si>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</si>
  <si>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</si>
  <si>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</si>
  <si>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</si>
  <si>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</si>
  <si>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</si>
  <si>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</si>
  <si>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</si>
  <si>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</si>
  <si>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</si>
  <si>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</si>
  <si>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</si>
  <si>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</si>
  <si>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</si>
  <si>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</si>
  <si>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</si>
  <si>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</si>
  <si>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</si>
  <si>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</si>
  <si>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</si>
  <si>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</si>
  <si>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</si>
  <si>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</si>
  <si>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</si>
  <si>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</si>
  <si>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</si>
  <si>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</si>
  <si>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</si>
  <si>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</si>
  <si>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</si>
  <si>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</si>
  <si>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</si>
  <si>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</si>
  <si>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</si>
  <si>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</si>
  <si>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</si>
  <si>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</si>
  <si>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</si>
  <si>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</si>
  <si>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</si>
  <si>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</si>
  <si>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</si>
  <si>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</si>
  <si>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</si>
  <si>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</si>
  <si>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</si>
  <si>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</si>
  <si>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</si>
  <si>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</si>
  <si>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</si>
  <si>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</si>
  <si>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</si>
  <si>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</si>
  <si>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</si>
  <si>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</si>
  <si>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</si>
  <si>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</si>
  <si>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</si>
  <si>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</si>
  <si>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</si>
  <si>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</si>
  <si>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</si>
  <si>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</si>
  <si>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</si>
  <si>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</si>
  <si>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</si>
  <si>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</si>
  <si>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</si>
  <si>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</si>
  <si>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</si>
  <si>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</si>
  <si>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</si>
  <si>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</si>
  <si>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</si>
  <si>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</si>
  <si>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</si>
  <si>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</si>
  <si>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</si>
  <si>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</si>
  <si>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</si>
  <si>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</si>
  <si>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</si>
  <si>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</si>
  <si>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</si>
  <si>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</si>
  <si>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</si>
  <si>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</si>
  <si>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</si>
  <si>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</si>
  <si>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</si>
  <si>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</si>
  <si>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</si>
  <si>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</si>
  <si>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</si>
  <si>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</si>
  <si>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</si>
  <si>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</si>
  <si>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</si>
  <si>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</si>
  <si>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</si>
  <si>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</si>
  <si>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</si>
  <si>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</si>
  <si>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</si>
  <si>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</si>
  <si>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</si>
  <si>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</si>
  <si>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</si>
  <si>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</si>
  <si>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</si>
  <si>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</si>
  <si>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</si>
  <si>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</si>
  <si>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</si>
  <si>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</si>
  <si>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</si>
  <si>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</si>
  <si>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</si>
  <si>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</si>
  <si>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</si>
  <si>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</si>
  <si>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</si>
  <si>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</si>
  <si>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</si>
  <si>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</si>
  <si>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</si>
  <si>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</si>
  <si>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</si>
  <si>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</si>
  <si>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</si>
  <si>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</si>
  <si>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</si>
  <si>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</si>
  <si>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</si>
  <si>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</si>
  <si>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</si>
  <si>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</si>
  <si>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</si>
  <si>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</si>
  <si>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</si>
  <si>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</si>
  <si>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</si>
  <si>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</si>
  <si>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</si>
  <si>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</si>
  <si>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</si>
  <si>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</si>
  <si>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</si>
  <si>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</si>
  <si>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</si>
  <si>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</si>
  <si>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</si>
  <si>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</si>
  <si>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</si>
  <si>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</si>
  <si>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</si>
  <si>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</si>
  <si>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</si>
  <si>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</si>
  <si>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</si>
  <si>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</si>
  <si>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</si>
  <si>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</si>
  <si>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</si>
  <si>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</si>
  <si>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</si>
  <si>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</si>
  <si>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</si>
  <si>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</si>
  <si>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</si>
  <si>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</si>
  <si>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</si>
  <si>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</si>
  <si>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</si>
  <si>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</si>
  <si>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</si>
  <si>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</si>
  <si>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</si>
  <si>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</si>
  <si>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</si>
  <si>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</si>
  <si>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</si>
  <si>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</si>
  <si>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</si>
  <si>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</si>
  <si>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</si>
  <si>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</si>
  <si>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</si>
  <si>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</si>
  <si>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</si>
  <si>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</si>
  <si>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</si>
  <si>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</si>
  <si>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</si>
  <si>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</si>
  <si>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</si>
  <si>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</si>
  <si>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</si>
  <si>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</si>
  <si>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</si>
  <si>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</si>
  <si>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</si>
  <si>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</si>
  <si>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</si>
  <si>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</si>
  <si>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</si>
  <si>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</si>
  <si>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</si>
  <si>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</si>
  <si>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</si>
  <si>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</si>
  <si>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</si>
  <si>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</si>
  <si>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</si>
  <si>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</si>
  <si>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</si>
  <si>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</si>
  <si>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</si>
  <si>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</si>
  <si>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</si>
  <si>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</si>
  <si>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</si>
  <si>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</si>
  <si>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</si>
  <si>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</si>
  <si>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</si>
  <si>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</si>
  <si>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</si>
  <si>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</si>
  <si>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</si>
  <si>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</si>
  <si>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</si>
  <si>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</si>
  <si>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</si>
  <si>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</si>
  <si>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</si>
  <si>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</si>
  <si>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</si>
  <si>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</si>
  <si>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</si>
  <si>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</si>
  <si>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</si>
  <si>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</si>
  <si>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</si>
  <si>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</si>
  <si>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</si>
  <si>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</si>
  <si>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</si>
  <si>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</si>
  <si>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</si>
  <si>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</si>
  <si>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</si>
  <si>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</si>
  <si>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</si>
  <si>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</si>
  <si>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</si>
  <si>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</si>
  <si>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</si>
  <si>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</si>
  <si>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</si>
  <si>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</si>
  <si>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</si>
  <si>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</si>
  <si>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</si>
  <si>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</si>
  <si>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</si>
  <si>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</si>
  <si>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</si>
  <si>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</si>
  <si>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</si>
  <si>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</si>
  <si>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</si>
  <si>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</si>
  <si>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</si>
  <si>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</si>
  <si>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</si>
  <si>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</si>
  <si>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</si>
  <si>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</si>
  <si>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</si>
  <si>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</si>
  <si>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</si>
  <si>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</si>
  <si>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</si>
  <si>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</si>
  <si>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</si>
  <si>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</si>
  <si>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</si>
  <si>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</si>
  <si>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</si>
  <si>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</si>
  <si>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</si>
  <si>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</si>
  <si>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</si>
  <si>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</si>
  <si>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</si>
  <si>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</si>
  <si>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</si>
  <si>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</si>
  <si>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</si>
  <si>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</si>
  <si>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</si>
  <si>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</si>
  <si>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</si>
  <si>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</si>
  <si>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</si>
  <si>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</si>
  <si>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</si>
  <si>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</si>
  <si>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</si>
  <si>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</si>
  <si>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</si>
  <si>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</si>
  <si>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</si>
  <si>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</si>
  <si>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</si>
  <si>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</si>
  <si>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</si>
  <si>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</si>
  <si>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</si>
  <si>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</si>
  <si>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</si>
  <si>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</si>
  <si>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</si>
  <si>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</si>
  <si>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</si>
  <si>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</si>
  <si>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</si>
  <si>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</si>
  <si>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</si>
  <si>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</si>
  <si>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</si>
  <si>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</si>
  <si>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</si>
  <si>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</si>
  <si>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</si>
  <si>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</si>
  <si>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</si>
  <si>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</si>
  <si>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</si>
  <si>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</si>
  <si>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</si>
  <si>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</si>
  <si>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</si>
  <si>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</si>
  <si>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</si>
  <si>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</si>
  <si>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</si>
  <si>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</si>
  <si>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</si>
  <si>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</si>
  <si>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</si>
  <si>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</si>
  <si>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</si>
  <si>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</si>
  <si>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</si>
  <si>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</si>
  <si>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</si>
  <si>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</si>
  <si>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</si>
  <si>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</si>
  <si>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</si>
  <si>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</si>
  <si>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</si>
  <si>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</si>
  <si>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</si>
  <si>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</si>
  <si>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</si>
  <si>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</si>
  <si>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</si>
  <si>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</si>
  <si>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</si>
  <si>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</si>
  <si>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</si>
  <si>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</si>
  <si>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</si>
  <si>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</si>
  <si>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</si>
  <si>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</si>
  <si>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</si>
  <si>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</si>
  <si>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</si>
  <si>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</si>
  <si>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</si>
  <si>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</si>
  <si>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</si>
  <si>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</si>
  <si>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</si>
  <si>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</si>
  <si>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</si>
  <si>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</si>
  <si>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</si>
  <si>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</si>
  <si>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</si>
  <si>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</si>
  <si>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</si>
  <si>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</si>
  <si>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</si>
  <si>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</si>
  <si>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</si>
  <si>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</si>
  <si>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</si>
  <si>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</si>
  <si>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</si>
  <si>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</si>
  <si>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</si>
  <si>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</si>
  <si>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</si>
  <si>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</si>
  <si>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</si>
  <si>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</si>
  <si>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</si>
  <si>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</si>
  <si>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</si>
  <si>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</si>
  <si>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</si>
  <si>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</si>
  <si>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</si>
  <si>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</si>
  <si>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</si>
  <si>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</si>
  <si>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</si>
  <si>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</si>
  <si>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</si>
  <si>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</si>
  <si>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</si>
  <si>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</si>
  <si>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</si>
  <si>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</si>
  <si>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</si>
  <si>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</si>
  <si>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</si>
  <si>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</si>
  <si>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</si>
  <si>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</si>
  <si>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</si>
  <si>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</si>
  <si>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</si>
  <si>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</si>
  <si>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</si>
  <si>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</si>
  <si>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</si>
  <si>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</si>
  <si>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</si>
  <si>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</si>
  <si>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</si>
  <si>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</si>
  <si>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</si>
  <si>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</si>
  <si>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</si>
  <si>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</si>
  <si>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</si>
  <si>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</si>
  <si>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</si>
  <si>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</si>
  <si>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</si>
  <si>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</si>
  <si>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</si>
  <si>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</si>
  <si>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</si>
  <si>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</si>
  <si>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</si>
  <si>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</si>
  <si>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</si>
  <si>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</si>
  <si>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</si>
  <si>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</si>
  <si>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</si>
  <si>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</si>
  <si>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</si>
  <si>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</si>
  <si>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</si>
  <si>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</si>
  <si>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</si>
  <si>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</si>
  <si>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</si>
  <si>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</si>
  <si>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</si>
  <si>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</si>
  <si>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</si>
  <si>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</si>
  <si>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</si>
  <si>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</si>
  <si>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</si>
  <si>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</si>
  <si>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</si>
  <si>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</si>
  <si>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</si>
  <si>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</si>
  <si>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</si>
  <si>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</si>
  <si>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</si>
  <si>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</si>
  <si>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</si>
  <si>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</si>
  <si>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</si>
  <si>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</si>
  <si>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</si>
  <si>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</si>
  <si>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</si>
  <si>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</si>
  <si>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</si>
  <si>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</si>
  <si>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</si>
  <si>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</si>
  <si>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</si>
  <si>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</si>
  <si>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</si>
  <si>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</si>
  <si>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</si>
  <si>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</si>
  <si>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</si>
  <si>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</si>
  <si>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</si>
  <si>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</si>
  <si>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</si>
  <si>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</si>
  <si>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</si>
  <si>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</si>
  <si>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</si>
  <si>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</si>
  <si>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</si>
  <si>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</si>
  <si>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</si>
  <si>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</si>
  <si>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</si>
  <si>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</si>
  <si>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</si>
  <si>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</si>
  <si>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</si>
  <si>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</si>
  <si>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</si>
  <si>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</si>
  <si>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</si>
  <si>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</si>
  <si>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</si>
  <si>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</si>
  <si>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</si>
  <si>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</si>
  <si>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</si>
  <si>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</si>
  <si>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</si>
  <si>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</si>
  <si>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</si>
  <si>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</si>
  <si>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</si>
  <si>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</si>
  <si>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</si>
  <si>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</si>
  <si>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</si>
  <si>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</si>
  <si>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</si>
  <si>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</si>
  <si>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</si>
  <si>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</si>
  <si>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</si>
  <si>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</si>
  <si>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</si>
  <si>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</si>
  <si>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</si>
  <si>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</si>
  <si>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</si>
  <si>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</si>
  <si>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</si>
  <si>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</si>
  <si>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</si>
  <si>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</si>
  <si>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</si>
  <si>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</si>
  <si>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</si>
  <si>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</si>
  <si>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</si>
  <si>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</si>
  <si>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</si>
  <si>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</si>
  <si>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</si>
  <si>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</si>
  <si>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</si>
  <si>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</si>
  <si>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</si>
  <si>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</si>
  <si>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</si>
  <si>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</si>
  <si>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</si>
  <si>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</si>
  <si>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</si>
  <si>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</si>
  <si>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</si>
  <si>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</si>
  <si>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</si>
  <si>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</si>
  <si>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</si>
  <si>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</si>
  <si>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</si>
  <si>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</si>
  <si>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</si>
  <si>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</si>
  <si>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</si>
  <si>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</si>
  <si>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</si>
  <si>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</si>
  <si>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</si>
  <si>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</si>
  <si>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</si>
  <si>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</si>
  <si>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</si>
  <si>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</si>
  <si>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</si>
  <si>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</si>
  <si>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</si>
  <si>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</si>
  <si>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</si>
  <si>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</si>
  <si>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</si>
  <si>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</si>
  <si>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</si>
  <si>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</si>
  <si>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</si>
  <si>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</si>
  <si>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</si>
  <si>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</si>
  <si>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</si>
  <si>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</si>
  <si>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</si>
  <si>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</si>
  <si>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</si>
  <si>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</si>
  <si>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</si>
  <si>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</si>
  <si>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</si>
  <si>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</si>
  <si>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</si>
  <si>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</si>
  <si>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</si>
  <si>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</si>
  <si>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</si>
  <si>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</si>
  <si>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</si>
  <si>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</si>
  <si>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</si>
  <si>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</si>
  <si>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</si>
  <si>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</si>
  <si>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</si>
  <si>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</si>
  <si>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</si>
  <si>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</si>
  <si>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</si>
  <si>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</si>
  <si>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</si>
  <si>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</si>
  <si>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</si>
  <si>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</si>
  <si>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</si>
  <si>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</si>
  <si>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</si>
  <si>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</si>
  <si>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</si>
  <si>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</si>
  <si>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</si>
  <si>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</si>
  <si>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</si>
  <si>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</si>
  <si>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</si>
  <si>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</si>
  <si>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</si>
  <si>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</si>
  <si>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</si>
  <si>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</si>
  <si>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</si>
  <si>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</si>
  <si>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</si>
  <si>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</si>
  <si>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</si>
  <si>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</si>
  <si>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</si>
  <si>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</si>
  <si>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</si>
  <si>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</si>
  <si>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</si>
  <si>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</si>
  <si>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</si>
  <si>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</si>
  <si>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</si>
  <si>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</si>
  <si>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</si>
  <si>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</si>
  <si>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</si>
  <si>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</si>
  <si>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</si>
  <si>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</si>
  <si>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</si>
  <si>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</si>
  <si>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</si>
  <si>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</si>
  <si>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</si>
  <si>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</si>
  <si>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</si>
  <si>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</si>
  <si>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</si>
  <si>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</si>
  <si>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</si>
  <si>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</si>
  <si>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</si>
  <si>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</si>
  <si>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</si>
  <si>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</si>
  <si>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</si>
  <si>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</si>
  <si>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</si>
  <si>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</si>
  <si>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</si>
  <si>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</si>
  <si>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</si>
  <si>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</si>
  <si>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</si>
  <si>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</si>
  <si>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</si>
  <si>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</si>
  <si>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</si>
  <si>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</si>
  <si>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</si>
  <si>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</si>
  <si>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</si>
  <si>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</si>
  <si>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</si>
  <si>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</si>
  <si>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</si>
  <si>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</si>
  <si>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</si>
  <si>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</si>
  <si>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</si>
  <si>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</si>
  <si>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</si>
  <si>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</si>
  <si>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</si>
  <si>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</si>
  <si>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</si>
  <si>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</si>
  <si>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</si>
  <si>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</si>
  <si>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</si>
  <si>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</si>
  <si>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</si>
  <si>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</si>
  <si>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</si>
  <si>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</si>
  <si>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</si>
  <si>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</si>
  <si>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</si>
  <si>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</si>
  <si>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</si>
  <si>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</si>
  <si>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</si>
  <si>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</si>
  <si>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</si>
  <si>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</si>
  <si>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</si>
  <si>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</si>
  <si>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</si>
  <si>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</si>
  <si>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</si>
  <si>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</si>
  <si>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</si>
  <si>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</si>
  <si>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</si>
  <si>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</si>
  <si>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</si>
  <si>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</si>
  <si>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</si>
  <si>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</si>
  <si>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</si>
  <si>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</si>
  <si>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</si>
  <si>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</si>
  <si>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</si>
  <si>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</si>
  <si>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</si>
  <si>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</si>
  <si>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</si>
  <si>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</si>
  <si>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</si>
  <si>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</si>
  <si>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</si>
  <si>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</si>
  <si>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</si>
  <si>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</si>
  <si>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</si>
  <si>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</si>
  <si>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</si>
  <si>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</si>
  <si>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</si>
  <si>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</si>
  <si>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</si>
  <si>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</si>
  <si>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</si>
  <si>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</si>
  <si>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</si>
  <si>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</si>
  <si>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</si>
  <si>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</si>
  <si>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</si>
  <si>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</si>
  <si>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</si>
  <si>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</si>
  <si>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</si>
  <si>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</si>
  <si>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</si>
  <si>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</si>
  <si>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</si>
  <si>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</si>
  <si>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</si>
  <si>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</si>
  <si>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</si>
  <si>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</si>
  <si>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</si>
  <si>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</si>
  <si>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</si>
  <si>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</si>
  <si>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</si>
  <si>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</si>
  <si>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</si>
  <si>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</si>
  <si>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</si>
  <si>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</si>
  <si>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</si>
  <si>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</si>
  <si>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</si>
  <si>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</si>
  <si>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</si>
  <si>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</si>
  <si>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</si>
  <si>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</si>
  <si>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</si>
  <si>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</si>
  <si>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</si>
  <si>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</si>
  <si>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</si>
  <si>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</si>
  <si>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</si>
  <si>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</si>
  <si>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</si>
  <si>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</si>
  <si>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</si>
  <si>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</si>
  <si>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</si>
  <si>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</si>
  <si>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</si>
  <si>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</si>
  <si>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</si>
  <si>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</si>
  <si>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</si>
  <si>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</si>
  <si>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</si>
  <si>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</si>
  <si>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</si>
  <si>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</si>
  <si>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</si>
  <si>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</si>
  <si>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</si>
  <si>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</si>
  <si>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</si>
  <si>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</si>
  <si>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</si>
  <si>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</si>
  <si>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</si>
  <si>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</si>
  <si>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</si>
  <si>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</si>
  <si>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</si>
  <si>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</si>
  <si>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</si>
  <si>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</si>
  <si>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</si>
  <si>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</si>
  <si>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</si>
  <si>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</si>
  <si>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</si>
  <si>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</si>
  <si>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</si>
  <si>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</si>
  <si>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</si>
  <si>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</si>
  <si>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</si>
  <si>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</si>
  <si>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</si>
  <si>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</si>
  <si>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</si>
  <si>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</si>
  <si>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</si>
  <si>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</si>
  <si>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</si>
  <si>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</si>
  <si>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</si>
  <si>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</si>
  <si>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</si>
  <si>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</si>
  <si>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</si>
  <si>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</si>
  <si>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</si>
  <si>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</si>
  <si>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</si>
  <si>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</si>
  <si>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</si>
  <si>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</si>
  <si>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</si>
  <si>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</si>
  <si>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</si>
  <si>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</si>
  <si>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</si>
  <si>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</si>
  <si>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</si>
  <si>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</si>
  <si>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</si>
  <si>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</si>
  <si>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</si>
  <si>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</si>
  <si>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</si>
  <si>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</si>
  <si>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</si>
  <si>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</si>
  <si>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</si>
  <si>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</si>
  <si>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</si>
  <si>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</si>
  <si>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</si>
  <si>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</si>
  <si>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</si>
  <si>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</si>
  <si>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</si>
  <si>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</si>
  <si>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</si>
  <si>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</si>
  <si>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</si>
  <si>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</si>
  <si>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</si>
  <si>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</si>
  <si>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</si>
  <si>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</si>
  <si>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</si>
  <si>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</si>
  <si>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</si>
  <si>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</si>
  <si>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</si>
  <si>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</si>
  <si>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</si>
  <si>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</si>
  <si>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</si>
  <si>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</si>
  <si>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</si>
  <si>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</si>
  <si>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</si>
  <si>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</si>
  <si>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</si>
  <si>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</si>
  <si>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</si>
  <si>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</si>
  <si>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</si>
  <si>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</si>
  <si>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</si>
  <si>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</si>
  <si>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</si>
  <si>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</si>
  <si>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</si>
  <si>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</si>
  <si>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</si>
  <si>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</si>
  <si>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</si>
  <si>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</si>
  <si>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</si>
  <si>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</si>
  <si>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</si>
  <si>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</si>
  <si>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</si>
  <si>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</si>
  <si>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</si>
  <si>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</si>
  <si>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</si>
  <si>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</si>
  <si>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</si>
  <si>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</si>
  <si>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</si>
  <si>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</si>
  <si>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</si>
  <si>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</si>
  <si>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</si>
  <si>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</si>
  <si>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</si>
  <si>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</si>
  <si>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</si>
  <si>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</si>
  <si>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</si>
  <si>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</si>
  <si>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</si>
  <si>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</si>
  <si>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</si>
  <si>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</si>
  <si>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</si>
  <si>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</si>
  <si>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</si>
  <si>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</si>
  <si>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</si>
  <si>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</si>
  <si>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</si>
  <si>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</si>
  <si>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</si>
  <si>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</si>
  <si>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</si>
  <si>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</si>
  <si>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</si>
  <si>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</si>
  <si>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</si>
  <si>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</si>
  <si>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</si>
  <si>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</si>
  <si>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</si>
  <si>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</si>
  <si>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</si>
  <si>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</si>
  <si>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</si>
  <si>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</si>
  <si>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</si>
  <si>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</si>
  <si>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</si>
  <si>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</si>
  <si>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</si>
  <si>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</si>
  <si>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</si>
  <si>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</si>
  <si>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</si>
  <si>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</si>
  <si>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</si>
  <si>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</si>
  <si>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</si>
  <si>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</si>
  <si>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</si>
  <si>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</si>
  <si>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</si>
  <si>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</si>
  <si>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</si>
  <si>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</si>
  <si>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</si>
  <si>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</si>
  <si>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</si>
  <si>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</si>
  <si>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</si>
  <si>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</si>
  <si>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</si>
  <si>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</si>
  <si>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</si>
  <si>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</si>
  <si>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</si>
  <si>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</si>
  <si>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</si>
  <si>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</si>
  <si>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</si>
  <si>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</si>
  <si>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</si>
  <si>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</si>
  <si>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</si>
  <si>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</si>
  <si>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</si>
  <si>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</si>
  <si>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</si>
  <si>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</si>
  <si>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</si>
  <si>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</si>
  <si>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</si>
  <si>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</si>
  <si>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</si>
  <si>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</si>
  <si>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</si>
  <si>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</si>
  <si>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</si>
  <si>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</si>
  <si>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</si>
  <si>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</si>
  <si>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</si>
  <si>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</si>
  <si>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</si>
  <si>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</si>
  <si>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</si>
  <si>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</si>
  <si>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</si>
  <si>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</si>
  <si>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</si>
  <si>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</si>
  <si>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</si>
  <si>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</si>
  <si>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</si>
  <si>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</si>
  <si>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</si>
  <si>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</si>
  <si>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</si>
  <si>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</si>
  <si>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</si>
  <si>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</si>
  <si>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</si>
  <si>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</si>
  <si>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</si>
  <si>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</si>
  <si>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</si>
  <si>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</si>
  <si>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</si>
  <si>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</si>
  <si>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</si>
  <si>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</si>
  <si>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</si>
  <si>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</si>
  <si>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</si>
  <si>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</si>
  <si>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</si>
  <si>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</si>
  <si>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</si>
  <si>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</si>
  <si>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</si>
  <si>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</si>
  <si>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</si>
  <si>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</si>
  <si>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</si>
  <si>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</si>
  <si>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</si>
  <si>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</si>
  <si>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</si>
  <si>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</si>
  <si>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</si>
  <si>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</si>
  <si>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</si>
  <si>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</si>
  <si>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</si>
  <si>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</si>
  <si>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</si>
  <si>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</si>
  <si>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</si>
  <si>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</si>
  <si>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</si>
  <si>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</si>
  <si>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</si>
  <si>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</si>
  <si>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</si>
  <si>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</si>
  <si>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</si>
  <si>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</si>
  <si>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</si>
  <si>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</si>
  <si>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</si>
  <si>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</si>
  <si>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</si>
  <si>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</si>
  <si>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</si>
  <si>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</si>
  <si>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</si>
  <si>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</si>
  <si>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</si>
  <si>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</si>
  <si>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</si>
  <si>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</si>
  <si>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</si>
  <si>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</si>
  <si>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</si>
  <si>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</si>
  <si>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</si>
  <si>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</si>
  <si>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</si>
  <si>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</si>
  <si>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</si>
  <si>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</si>
  <si>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</si>
  <si>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</si>
  <si>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</si>
  <si>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</si>
  <si>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</si>
  <si>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</si>
  <si>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</si>
  <si>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</si>
  <si>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</si>
  <si>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</si>
  <si>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</si>
  <si>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</si>
  <si>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</si>
  <si>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</si>
  <si>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</si>
  <si>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</si>
  <si>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</si>
  <si>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</si>
  <si>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</si>
  <si>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</si>
  <si>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</si>
  <si>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</si>
  <si>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</si>
  <si>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</si>
  <si>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</si>
  <si>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</si>
  <si>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</si>
  <si>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</si>
  <si>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</si>
  <si>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</si>
  <si>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</si>
  <si>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</si>
  <si>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</si>
  <si>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</si>
  <si>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</si>
  <si>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</si>
  <si>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</si>
  <si>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</si>
  <si>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</si>
  <si>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</si>
  <si>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</si>
  <si>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</si>
  <si>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</si>
  <si>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 xml:space="preserve"> </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</si>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</sst>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2"/>
      <color theme="1"/>
      <name val="Calibri"/>
      <scheme val="minor"/>
    </font>
    <font>
      <sz val="12"/>
      <color theme="1"/>
      <name val="Calibri"/>
      <scheme val="minor"/>
    </font>
    <font>
      <b/>
      <sz val="12"/>
      <color theme="4"/>
      <name val="Calibri"/>
      <family val="2"/>
      <scheme val="minor"/>
    </font>
    <font>
      <b/>
      <sz val="12"/>
      <color theme="8" tint="-0.249977111117893"/>
      <name val="Calibri"/>
      <family val="2"/>
      <scheme val="minor"/>
    </font>
    <font>
      <sz val="12"/>
      <color theme="1"/>
      <name val="Calibri"/>
      <family val="2"/>
      <scheme val="minor"/>
    </font>
  </fonts>
  <fills count="4">
    <fill>
      <patternFill patternType="none"/>
    </fill>
    <fill>
      <patternFill patternType="gray125"/>
    </fill>
    <fill>
      <patternFill patternType="solid">
        <fgColor theme="2" tint="-4.9989318521683403E-2"/>
        <bgColor indexed="64"/>
      </patternFill>
    </fill>
    <fill>
      <patternFill patternType="solid">
        <fgColor theme="4" tint="0.79998168889431442"/>
        <bgColor indexed="64"/>
      </patternFill>
    </fill>
  </fills>
  <borders count="12">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2" borderId="5" xfId="0" applyFont="1" applyFill="1" applyBorder="1"/>
    <xf numFmtId="0" fontId="2" fillId="2" borderId="2" xfId="0" applyFont="1" applyFill="1" applyBorder="1"/>
    <xf numFmtId="0" fontId="2" fillId="2" borderId="7" xfId="0" applyFont="1" applyFill="1" applyBorder="1"/>
    <xf numFmtId="1" fontId="0" fillId="0" borderId="0" xfId="0" applyNumberFormat="1"/>
    <xf numFmtId="9" fontId="0" fillId="0" borderId="0" xfId="1" applyFont="1"/>
    <xf numFmtId="0" fontId="0" fillId="0" borderId="9" xfId="0" applyBorder="1"/>
    <xf numFmtId="0" fontId="3" fillId="3" borderId="9" xfId="0" applyFont="1" applyFill="1" applyBorder="1"/>
    <xf numFmtId="164" fontId="0" fillId="0" borderId="10" xfId="0" applyNumberFormat="1" applyBorder="1"/>
    <xf numFmtId="0" fontId="4" fillId="0" borderId="0" xfId="0" applyFont="1"/>
    <xf numFmtId="164" fontId="0" fillId="0" borderId="0" xfId="0" applyNumberFormat="1"/>
    <xf numFmtId="0" fontId="0" fillId="0" borderId="1" xfId="0" pivotButton="1" applyBorder="1"/>
    <xf numFmtId="0" fontId="0" fillId="0" borderId="1" xfId="0" applyBorder="1" applyAlignment="1">
      <alignment horizontal="left"/>
    </xf>
    <xf numFmtId="0" fontId="0" fillId="0" borderId="8" xfId="0" applyBorder="1" applyAlignment="1">
      <alignment horizontal="left"/>
    </xf>
    <xf numFmtId="0" fontId="0" fillId="0" borderId="3" xfId="0" applyBorder="1" applyAlignment="1">
      <alignment horizontal="left"/>
    </xf>
    <xf numFmtId="0" fontId="0" fillId="0" borderId="0" xfId="0" applyAlignment="1">
      <alignment horizontal="left"/>
    </xf>
    <xf numFmtId="0" fontId="0" fillId="0" borderId="10" xfId="0" applyBorder="1"/>
    <xf numFmtId="0" fontId="0" fillId="0" borderId="11" xfId="0" applyBorder="1"/>
    <xf numFmtId="0" fontId="0" fillId="0" borderId="3" xfId="0" applyBorder="1"/>
    <xf numFmtId="0" fontId="0" fillId="0" borderId="6" xfId="0" applyBorder="1"/>
    <xf numFmtId="0" fontId="0" fillId="0" borderId="4" xfId="0" applyBorder="1"/>
    <xf numFmtId="10" fontId="0" fillId="0" borderId="9" xfId="0" applyNumberFormat="1" applyBorder="1"/>
    <xf numFmtId="10" fontId="0" fillId="0" borderId="11" xfId="0" applyNumberFormat="1" applyBorder="1"/>
    <xf numFmtId="10" fontId="0" fillId="0" borderId="10" xfId="0" applyNumberFormat="1" applyBorder="1"/>
  </cellXfs>
  <cellStyles count="2">
    <cellStyle name="Normal" xfId="0" builtinId="0"/>
    <cellStyle name="Percent" xfId="1" builtinId="5"/>
  </cellStyles>
  <dxfs count="12">
    <dxf>
      <numFmt numFmtId="164" formatCode="0.0"/>
    </dxf>
    <dxf>
      <font>
        <color theme="8" tint="-0.249977111117893"/>
      </font>
    </dxf>
    <dxf>
      <fill>
        <patternFill patternType="solid">
          <bgColor theme="4" tint="0.79998168889431442"/>
        </patternFill>
      </fill>
    </dxf>
    <dxf>
      <font>
        <b/>
        <family val="2"/>
      </font>
    </dxf>
    <dxf>
      <font>
        <b/>
        <color theme="4"/>
        <family val="2"/>
      </font>
      <fill>
        <patternFill patternType="solid">
          <fgColor indexed="64"/>
          <bgColor theme="2" tint="-4.9989318521683403E-2"/>
        </patternFill>
      </fill>
    </dxf>
    <dxf>
      <font>
        <b/>
        <color theme="4"/>
        <family val="2"/>
      </font>
      <fill>
        <patternFill patternType="solid">
          <fgColor indexed="64"/>
          <bgColor theme="2" tint="-4.9989318521683403E-2"/>
        </patternFill>
      </fill>
    </dxf>
    <dxf>
      <font>
        <color theme="4"/>
      </font>
    </dxf>
    <dxf>
      <fill>
        <patternFill patternType="solid">
          <bgColor theme="2" tint="-4.9989318521683403E-2"/>
        </patternFill>
      </fill>
    </dxf>
    <dxf>
      <font>
        <b/>
        <family val="2"/>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11"/>
      <tableStyleElement type="firstRowStripe" dxfId="10"/>
      <tableStyleElement type="secondRowStripe" dxfId="9"/>
    </tableStyle>
  </tableStyles>
  <colors>
    <mruColors>
      <color rgb="FF533ED2"/>
      <color rgb="FFE91BDA"/>
      <color rgb="FF0E13E8"/>
      <color rgb="FF5F5DAF"/>
      <color rgb="FFF030D0"/>
      <color rgb="FFA53DA7"/>
      <color rgb="FFB04291"/>
      <color rgb="FF6029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44792568468211"/>
          <c:y val="0.20327966607036377"/>
          <c:w val="0.56273927800909707"/>
          <c:h val="0.5768329271900046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D8-46B2-9EED-527173EA99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E4-43FD-AEEB-8423414A2539}"/>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A8D8-46B2-9EED-527173EA994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70087206841081E-2"/>
          <c:y val="9.2541557305336836E-2"/>
          <c:w val="0.91980308912998776"/>
          <c:h val="0.78134463961235612"/>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97F1-4518-9F45-F7F1CA1988A2}"/>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97F1-4518-9F45-F7F1CA1988A2}"/>
            </c:ext>
          </c:extLst>
        </c:ser>
        <c:dLbls>
          <c:showLegendKey val="0"/>
          <c:showVal val="0"/>
          <c:showCatName val="0"/>
          <c:showSerName val="0"/>
          <c:showPercent val="0"/>
          <c:showBubbleSize val="0"/>
        </c:dLbls>
        <c:gapWidth val="0"/>
        <c:overlap val="100"/>
        <c:axId val="1218681551"/>
        <c:axId val="1218678191"/>
      </c:barChart>
      <c:catAx>
        <c:axId val="1218681551"/>
        <c:scaling>
          <c:orientation val="minMax"/>
        </c:scaling>
        <c:delete val="1"/>
        <c:axPos val="l"/>
        <c:majorTickMark val="out"/>
        <c:minorTickMark val="none"/>
        <c:tickLblPos val="nextTo"/>
        <c:crossAx val="1218678191"/>
        <c:crosses val="autoZero"/>
        <c:auto val="1"/>
        <c:lblAlgn val="ctr"/>
        <c:lblOffset val="100"/>
        <c:noMultiLvlLbl val="0"/>
      </c:catAx>
      <c:valAx>
        <c:axId val="1218678191"/>
        <c:scaling>
          <c:orientation val="minMax"/>
          <c:max val="4"/>
        </c:scaling>
        <c:delete val="1"/>
        <c:axPos val="b"/>
        <c:numFmt formatCode="0.0" sourceLinked="1"/>
        <c:majorTickMark val="out"/>
        <c:minorTickMark val="none"/>
        <c:tickLblPos val="nextTo"/>
        <c:crossAx val="121868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46-45BB-90F4-47C2E34522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46-45BB-90F4-47C2E34522C1}"/>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9D31-4EF2-9F22-61867ED5DA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03480194746645"/>
          <c:y val="6.3879210220673638E-2"/>
          <c:w val="0.73869265069601664"/>
          <c:h val="0.87224157955865278"/>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4A5-465A-9E01-941DBBCCC814}"/>
            </c:ext>
          </c:extLst>
        </c:ser>
        <c:dLbls>
          <c:dLblPos val="outEnd"/>
          <c:showLegendKey val="0"/>
          <c:showVal val="1"/>
          <c:showCatName val="0"/>
          <c:showSerName val="0"/>
          <c:showPercent val="0"/>
          <c:showBubbleSize val="0"/>
        </c:dLbls>
        <c:gapWidth val="182"/>
        <c:axId val="1324516287"/>
        <c:axId val="1324515327"/>
      </c:barChart>
      <c:catAx>
        <c:axId val="1324516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15327"/>
        <c:crosses val="autoZero"/>
        <c:auto val="1"/>
        <c:lblAlgn val="ctr"/>
        <c:lblOffset val="100"/>
        <c:noMultiLvlLbl val="0"/>
      </c:catAx>
      <c:valAx>
        <c:axId val="1324515327"/>
        <c:scaling>
          <c:orientation val="minMax"/>
        </c:scaling>
        <c:delete val="1"/>
        <c:axPos val="b"/>
        <c:numFmt formatCode="General" sourceLinked="1"/>
        <c:majorTickMark val="out"/>
        <c:minorTickMark val="none"/>
        <c:tickLblPos val="nextTo"/>
        <c:crossAx val="132451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D8-43EF-957E-1258F6EA2E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D8-43EF-957E-1258F6EA2E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D8-43EF-957E-1258F6EA2ED6}"/>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27B9-4ED5-A869-53EB563EDD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5AF-40B9-AC1A-A75A1BEA63FE}"/>
            </c:ext>
          </c:extLst>
        </c:ser>
        <c:dLbls>
          <c:showLegendKey val="0"/>
          <c:showVal val="0"/>
          <c:showCatName val="0"/>
          <c:showSerName val="0"/>
          <c:showPercent val="0"/>
          <c:showBubbleSize val="0"/>
        </c:dLbls>
        <c:gapWidth val="219"/>
        <c:overlap val="-27"/>
        <c:axId val="1324487967"/>
        <c:axId val="1324474527"/>
      </c:barChart>
      <c:catAx>
        <c:axId val="132448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74527"/>
        <c:crosses val="autoZero"/>
        <c:auto val="1"/>
        <c:lblAlgn val="ctr"/>
        <c:lblOffset val="100"/>
        <c:noMultiLvlLbl val="0"/>
      </c:catAx>
      <c:valAx>
        <c:axId val="1324474527"/>
        <c:scaling>
          <c:orientation val="minMax"/>
        </c:scaling>
        <c:delete val="1"/>
        <c:axPos val="l"/>
        <c:numFmt formatCode="General" sourceLinked="1"/>
        <c:majorTickMark val="none"/>
        <c:minorTickMark val="none"/>
        <c:tickLblPos val="nextTo"/>
        <c:crossAx val="132448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209800763417598"/>
          <c:y val="0.38052846620586656"/>
          <c:w val="0.56273927800909707"/>
          <c:h val="0.57683292719000467"/>
        </c:manualLayout>
      </c:layout>
      <c:doughnutChart>
        <c:varyColors val="1"/>
        <c:ser>
          <c:idx val="0"/>
          <c:order val="0"/>
          <c:dPt>
            <c:idx val="0"/>
            <c:bubble3D val="0"/>
            <c:spPr>
              <a:gradFill>
                <a:gsLst>
                  <a:gs pos="0">
                    <a:schemeClr val="accent1">
                      <a:lumMod val="75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AEC1-49E2-A8D1-EE18F5A495BC}"/>
              </c:ext>
            </c:extLst>
          </c:dPt>
          <c:dPt>
            <c:idx val="1"/>
            <c:bubble3D val="0"/>
            <c:spPr>
              <a:solidFill>
                <a:schemeClr val="bg2">
                  <a:lumMod val="95000"/>
                  <a:alpha val="95000"/>
                </a:schemeClr>
              </a:solidFill>
              <a:ln w="19050">
                <a:noFill/>
              </a:ln>
              <a:effectLst/>
            </c:spPr>
            <c:extLst>
              <c:ext xmlns:c16="http://schemas.microsoft.com/office/drawing/2014/chart" uri="{C3380CC4-5D6E-409C-BE32-E72D297353CC}">
                <c16:uniqueId val="{00000003-AEC1-49E2-A8D1-EE18F5A495BC}"/>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AEC1-49E2-A8D1-EE18F5A495B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213888888888878E-2"/>
          <c:y val="7.8662733529990161E-2"/>
          <c:w val="0.6959805555555556"/>
          <c:h val="0.6959805555555556"/>
        </c:manualLayout>
      </c:layout>
      <c:doughnutChart>
        <c:varyColors val="1"/>
        <c:ser>
          <c:idx val="0"/>
          <c:order val="0"/>
          <c:spPr>
            <a:ln>
              <a:noFill/>
            </a:ln>
          </c:spPr>
          <c:dPt>
            <c:idx val="0"/>
            <c:bubble3D val="0"/>
            <c:spPr>
              <a:gradFill>
                <a:gsLst>
                  <a:gs pos="0">
                    <a:srgbClr val="A53DA7"/>
                  </a:gs>
                  <a:gs pos="100000">
                    <a:srgbClr val="F030D0"/>
                  </a:gs>
                </a:gsLst>
                <a:lin ang="10800000" scaled="0"/>
              </a:gradFill>
              <a:ln w="19050">
                <a:noFill/>
              </a:ln>
              <a:effectLst/>
            </c:spPr>
            <c:extLst>
              <c:ext xmlns:c16="http://schemas.microsoft.com/office/drawing/2014/chart" uri="{C3380CC4-5D6E-409C-BE32-E72D297353CC}">
                <c16:uniqueId val="{00000001-7E10-474C-8DB1-785E70871029}"/>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7E10-474C-8DB1-785E70871029}"/>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7E10-474C-8DB1-785E7087102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86652078774617"/>
          <c:y val="0.101175"/>
          <c:w val="0.75707222222222226"/>
          <c:h val="0.76653611111111108"/>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437F-4F75-8422-157BD7A60FCA}"/>
              </c:ext>
            </c:extLst>
          </c:dPt>
          <c:dPt>
            <c:idx val="1"/>
            <c:bubble3D val="0"/>
            <c:spPr>
              <a:gradFill>
                <a:gsLst>
                  <a:gs pos="0">
                    <a:srgbClr val="5F5DAF"/>
                  </a:gs>
                  <a:gs pos="100000">
                    <a:srgbClr val="0E13E8"/>
                  </a:gs>
                </a:gsLst>
                <a:lin ang="10800000" scaled="0"/>
              </a:gradFill>
              <a:ln w="19050">
                <a:noFill/>
              </a:ln>
              <a:effectLst/>
            </c:spPr>
            <c:extLst>
              <c:ext xmlns:c16="http://schemas.microsoft.com/office/drawing/2014/chart" uri="{C3380CC4-5D6E-409C-BE32-E72D297353CC}">
                <c16:uniqueId val="{00000003-437F-4F75-8422-157BD7A60FCA}"/>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437F-4F75-8422-157BD7A60FC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20000"/>
                  <a:lumOff val="80000"/>
                </a:schemeClr>
              </a:gs>
              <a:gs pos="100000">
                <a:schemeClr val="accent6"/>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03480194746645"/>
          <c:y val="6.3879210220673638E-2"/>
          <c:w val="0.73869265069601664"/>
          <c:h val="0.87224157955865278"/>
        </c:manualLayout>
      </c:layout>
      <c:barChart>
        <c:barDir val="bar"/>
        <c:grouping val="clustered"/>
        <c:varyColors val="0"/>
        <c:ser>
          <c:idx val="0"/>
          <c:order val="0"/>
          <c:tx>
            <c:strRef>
              <c:f>'Education By Attrition'!$B$3</c:f>
              <c:strCache>
                <c:ptCount val="1"/>
                <c:pt idx="0">
                  <c:v>Total</c:v>
                </c:pt>
              </c:strCache>
            </c:strRef>
          </c:tx>
          <c:spPr>
            <a:gradFill>
              <a:gsLst>
                <a:gs pos="0">
                  <a:schemeClr val="accent6">
                    <a:lumMod val="20000"/>
                    <a:lumOff val="80000"/>
                  </a:schemeClr>
                </a:gs>
                <a:gs pos="100000">
                  <a:schemeClr val="accent6"/>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E14-4BE1-BCDF-2FB4998351B6}"/>
            </c:ext>
          </c:extLst>
        </c:ser>
        <c:dLbls>
          <c:dLblPos val="outEnd"/>
          <c:showLegendKey val="0"/>
          <c:showVal val="1"/>
          <c:showCatName val="0"/>
          <c:showSerName val="0"/>
          <c:showPercent val="0"/>
          <c:showBubbleSize val="0"/>
        </c:dLbls>
        <c:gapWidth val="75"/>
        <c:axId val="1324516287"/>
        <c:axId val="1324515327"/>
      </c:barChart>
      <c:catAx>
        <c:axId val="1324516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24515327"/>
        <c:crosses val="autoZero"/>
        <c:auto val="1"/>
        <c:lblAlgn val="ctr"/>
        <c:lblOffset val="100"/>
        <c:noMultiLvlLbl val="0"/>
      </c:catAx>
      <c:valAx>
        <c:axId val="1324515327"/>
        <c:scaling>
          <c:orientation val="minMax"/>
        </c:scaling>
        <c:delete val="1"/>
        <c:axPos val="b"/>
        <c:numFmt formatCode="General" sourceLinked="1"/>
        <c:majorTickMark val="out"/>
        <c:minorTickMark val="none"/>
        <c:tickLblPos val="nextTo"/>
        <c:crossAx val="132451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B2-4A23-911D-045BF08E68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B2-4A23-911D-045BF08E68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B2-4A23-911D-045BF08E68A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FB2-4A23-911D-045BF08E68A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40000"/>
                  <a:lumOff val="6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40000"/>
                    <a:lumOff val="6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F69-4D1F-B97D-41BFE009F77D}"/>
            </c:ext>
          </c:extLst>
        </c:ser>
        <c:dLbls>
          <c:dLblPos val="outEnd"/>
          <c:showLegendKey val="0"/>
          <c:showVal val="1"/>
          <c:showCatName val="0"/>
          <c:showSerName val="0"/>
          <c:showPercent val="0"/>
          <c:showBubbleSize val="0"/>
        </c:dLbls>
        <c:gapWidth val="115"/>
        <c:overlap val="-27"/>
        <c:axId val="1324487967"/>
        <c:axId val="1324474527"/>
      </c:barChart>
      <c:catAx>
        <c:axId val="132448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74527"/>
        <c:crosses val="autoZero"/>
        <c:auto val="1"/>
        <c:lblAlgn val="ctr"/>
        <c:lblOffset val="100"/>
        <c:noMultiLvlLbl val="0"/>
      </c:catAx>
      <c:valAx>
        <c:axId val="1324474527"/>
        <c:scaling>
          <c:orientation val="minMax"/>
        </c:scaling>
        <c:delete val="1"/>
        <c:axPos val="l"/>
        <c:numFmt formatCode="General" sourceLinked="1"/>
        <c:majorTickMark val="none"/>
        <c:minorTickMark val="none"/>
        <c:tickLblPos val="nextTo"/>
        <c:crossAx val="132448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50B59576-FEDF-4FCE-8DC5-CEB00A671E27}">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A96D9A35-B5C8-488A-9116-68C6D22DCC56}">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50B59576-FEDF-4FCE-8DC5-CEB00A671E27}">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A96D9A35-B5C8-488A-9116-68C6D22DCC56}">
          <cx:tx>
            <cx:txData>
              <cx:f>_xlchart.v2.8</cx:f>
              <cx:v>Attrition</cx:v>
            </cx:txData>
          </cx:tx>
          <cx:spPr>
            <a:gradFill>
              <a:gsLst>
                <a:gs pos="0">
                  <a:schemeClr val="accent6">
                    <a:lumMod val="50000"/>
                  </a:schemeClr>
                </a:gs>
                <a:gs pos="100000">
                  <a:schemeClr val="accent6">
                    <a:lumMod val="75000"/>
                  </a:schemeClr>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b="1"/>
            </a:pPr>
            <a:endParaRPr lang="en-US" sz="14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0.pn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11.xml"/><Relationship Id="rId2" Type="http://schemas.openxmlformats.org/officeDocument/2006/relationships/image" Target="../media/image2.pn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chart" Target="../charts/chart9.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9</xdr:col>
      <xdr:colOff>297180</xdr:colOff>
      <xdr:row>1</xdr:row>
      <xdr:rowOff>129541</xdr:rowOff>
    </xdr:from>
    <xdr:to>
      <xdr:col>12</xdr:col>
      <xdr:colOff>114300</xdr:colOff>
      <xdr:row>6</xdr:row>
      <xdr:rowOff>91441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99978AB-EF6A-2101-B02A-452468B8AA4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45980" y="32766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415290</xdr:colOff>
      <xdr:row>4</xdr:row>
      <xdr:rowOff>49530</xdr:rowOff>
    </xdr:from>
    <xdr:to>
      <xdr:col>6</xdr:col>
      <xdr:colOff>594360</xdr:colOff>
      <xdr:row>12</xdr:row>
      <xdr:rowOff>114300</xdr:rowOff>
    </xdr:to>
    <xdr:graphicFrame macro="">
      <xdr:nvGraphicFramePr>
        <xdr:cNvPr id="3" name="Chart 2">
          <a:extLst>
            <a:ext uri="{FF2B5EF4-FFF2-40B4-BE49-F238E27FC236}">
              <a16:creationId xmlns:a16="http://schemas.microsoft.com/office/drawing/2014/main" id="{F2F76DCE-37A0-1B9F-CC4A-3BF73DABC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152400</xdr:colOff>
      <xdr:row>0</xdr:row>
      <xdr:rowOff>160021</xdr:rowOff>
    </xdr:from>
    <xdr:to>
      <xdr:col>9</xdr:col>
      <xdr:colOff>251460</xdr:colOff>
      <xdr:row>6</xdr:row>
      <xdr:rowOff>7621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632CB7ED-56D6-B428-58EB-97B03C97F27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81700" y="160021"/>
              <a:ext cx="144018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1443990</xdr:colOff>
      <xdr:row>15</xdr:row>
      <xdr:rowOff>137160</xdr:rowOff>
    </xdr:from>
    <xdr:to>
      <xdr:col>6</xdr:col>
      <xdr:colOff>419100</xdr:colOff>
      <xdr:row>20</xdr:row>
      <xdr:rowOff>152400</xdr:rowOff>
    </xdr:to>
    <xdr:graphicFrame macro="">
      <xdr:nvGraphicFramePr>
        <xdr:cNvPr id="5" name="Chart 4">
          <a:extLst>
            <a:ext uri="{FF2B5EF4-FFF2-40B4-BE49-F238E27FC236}">
              <a16:creationId xmlns:a16="http://schemas.microsoft.com/office/drawing/2014/main" id="{03299555-EB3C-54DB-52FB-9818E5ED7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350520</xdr:colOff>
      <xdr:row>0</xdr:row>
      <xdr:rowOff>144781</xdr:rowOff>
    </xdr:from>
    <xdr:to>
      <xdr:col>12</xdr:col>
      <xdr:colOff>152400</xdr:colOff>
      <xdr:row>11</xdr:row>
      <xdr:rowOff>106681</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6B5A029D-5A56-D54E-05FD-54343C4A7C2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520940" y="144781"/>
              <a:ext cx="181356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198120</xdr:colOff>
      <xdr:row>1</xdr:row>
      <xdr:rowOff>7621</xdr:rowOff>
    </xdr:from>
    <xdr:to>
      <xdr:col>8</xdr:col>
      <xdr:colOff>15240</xdr:colOff>
      <xdr:row>6</xdr:row>
      <xdr:rowOff>76201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27C45E4F-DC12-D6BE-3062-4D3AD6B0243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876800" y="205741"/>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1291590</xdr:colOff>
      <xdr:row>10</xdr:row>
      <xdr:rowOff>41910</xdr:rowOff>
    </xdr:from>
    <xdr:to>
      <xdr:col>3</xdr:col>
      <xdr:colOff>624840</xdr:colOff>
      <xdr:row>16</xdr:row>
      <xdr:rowOff>144780</xdr:rowOff>
    </xdr:to>
    <xdr:graphicFrame macro="">
      <xdr:nvGraphicFramePr>
        <xdr:cNvPr id="3" name="Chart 2">
          <a:extLst>
            <a:ext uri="{FF2B5EF4-FFF2-40B4-BE49-F238E27FC236}">
              <a16:creationId xmlns:a16="http://schemas.microsoft.com/office/drawing/2014/main" id="{C8A4727C-9B57-A0AC-5725-03202EB54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255270</xdr:colOff>
      <xdr:row>4</xdr:row>
      <xdr:rowOff>121920</xdr:rowOff>
    </xdr:from>
    <xdr:to>
      <xdr:col>10</xdr:col>
      <xdr:colOff>53340</xdr:colOff>
      <xdr:row>15</xdr:row>
      <xdr:rowOff>129540</xdr:rowOff>
    </xdr:to>
    <xdr:graphicFrame macro="">
      <xdr:nvGraphicFramePr>
        <xdr:cNvPr id="2" name="Chart 1">
          <a:extLst>
            <a:ext uri="{FF2B5EF4-FFF2-40B4-BE49-F238E27FC236}">
              <a16:creationId xmlns:a16="http://schemas.microsoft.com/office/drawing/2014/main" id="{A087DF21-389F-6793-4901-086A494F8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613410</xdr:colOff>
      <xdr:row>3</xdr:row>
      <xdr:rowOff>26670</xdr:rowOff>
    </xdr:from>
    <xdr:to>
      <xdr:col>11</xdr:col>
      <xdr:colOff>617220</xdr:colOff>
      <xdr:row>15</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ABA318-0DA8-FB15-E9CE-DDCD0A1714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42810" y="621030"/>
              <a:ext cx="4027170" cy="2487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552450</xdr:colOff>
      <xdr:row>2</xdr:row>
      <xdr:rowOff>15240</xdr:rowOff>
    </xdr:from>
    <xdr:to>
      <xdr:col>7</xdr:col>
      <xdr:colOff>411480</xdr:colOff>
      <xdr:row>12</xdr:row>
      <xdr:rowOff>144780</xdr:rowOff>
    </xdr:to>
    <xdr:graphicFrame macro="">
      <xdr:nvGraphicFramePr>
        <xdr:cNvPr id="2" name="Chart 1">
          <a:extLst>
            <a:ext uri="{FF2B5EF4-FFF2-40B4-BE49-F238E27FC236}">
              <a16:creationId xmlns:a16="http://schemas.microsoft.com/office/drawing/2014/main" id="{C32A9CF4-AF1A-A585-B91F-B59008C68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659130</xdr:colOff>
      <xdr:row>5</xdr:row>
      <xdr:rowOff>68580</xdr:rowOff>
    </xdr:from>
    <xdr:to>
      <xdr:col>9</xdr:col>
      <xdr:colOff>647700</xdr:colOff>
      <xdr:row>18</xdr:row>
      <xdr:rowOff>22860</xdr:rowOff>
    </xdr:to>
    <xdr:graphicFrame macro="">
      <xdr:nvGraphicFramePr>
        <xdr:cNvPr id="2" name="Chart 1">
          <a:extLst>
            <a:ext uri="{FF2B5EF4-FFF2-40B4-BE49-F238E27FC236}">
              <a16:creationId xmlns:a16="http://schemas.microsoft.com/office/drawing/2014/main" id="{7D1D2EB5-7DCA-7D7E-78E0-355F4A084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243840</xdr:colOff>
      <xdr:row>1</xdr:row>
      <xdr:rowOff>91440</xdr:rowOff>
    </xdr:from>
    <xdr:to>
      <xdr:col>17</xdr:col>
      <xdr:colOff>60960</xdr:colOff>
      <xdr:row>15</xdr:row>
      <xdr:rowOff>13335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DD8C7D02-0EF4-FC0E-38E5-FC15E7838F5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957560" y="2895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1</xdr:row>
      <xdr:rowOff>68580</xdr:rowOff>
    </xdr:from>
    <xdr:to>
      <xdr:col>13</xdr:col>
      <xdr:colOff>373380</xdr:colOff>
      <xdr:row>14</xdr:row>
      <xdr:rowOff>188595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76417767-AE4A-7D12-F67E-F35D6DA7A35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587740" y="2667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384810</xdr:colOff>
      <xdr:row>5</xdr:row>
      <xdr:rowOff>140970</xdr:rowOff>
    </xdr:from>
    <xdr:to>
      <xdr:col>12</xdr:col>
      <xdr:colOff>262890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701C3C8-1D0F-62C8-4CF1-C0F65D1DB8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4</xdr:col>
      <xdr:colOff>114641</xdr:colOff>
      <xdr:row>2</xdr:row>
      <xdr:rowOff>180237</xdr:rowOff>
    </xdr:from>
    <xdr:ext cx="15796374" cy="9441436"/>
    <xdr:grpSp>
      <xdr:nvGrpSpPr>
        <xdr:cNvPr id="2" name="Shape 2">
          <a:extLst>
            <a:ext uri="{FF2B5EF4-FFF2-40B4-BE49-F238E27FC236}">
              <a16:creationId xmlns:a16="http://schemas.microsoft.com/office/drawing/2014/main" id="{00000000-0008-0000-0200-000002000000}"/>
            </a:ext>
          </a:extLst>
        </xdr:cNvPr>
        <xdr:cNvGrpSpPr/>
      </xdr:nvGrpSpPr>
      <xdr:grpSpPr>
        <a:xfrm>
          <a:off x="2753208" y="566924"/>
          <a:ext cx="15796374" cy="9441436"/>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5" y="1215714"/>
              <a:ext cx="13289110" cy="1008215"/>
              <a:chOff x="1846115" y="1215714"/>
              <a:chExt cx="13403410" cy="1008215"/>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5"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36673" y="1225081"/>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3</xdr:colOff>
      <xdr:row>10</xdr:row>
      <xdr:rowOff>147847</xdr:rowOff>
    </xdr:from>
    <xdr:to>
      <xdr:col>7</xdr:col>
      <xdr:colOff>329821</xdr:colOff>
      <xdr:row>12</xdr:row>
      <xdr:rowOff>79612</xdr:rowOff>
    </xdr:to>
    <xdr:sp macro="" textlink="">
      <xdr:nvSpPr>
        <xdr:cNvPr id="29" name="TextBox 28">
          <a:extLst>
            <a:ext uri="{FF2B5EF4-FFF2-40B4-BE49-F238E27FC236}">
              <a16:creationId xmlns:a16="http://schemas.microsoft.com/office/drawing/2014/main" id="{52923AEB-A33F-472D-119C-D6FBD3C15EB9}"/>
            </a:ext>
          </a:extLst>
        </xdr:cNvPr>
        <xdr:cNvSpPr txBox="1"/>
      </xdr:nvSpPr>
      <xdr:spPr>
        <a:xfrm>
          <a:off x="3298212" y="2081280"/>
          <a:ext cx="1649102" cy="318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rPr>
            <a:t>TOTAL EMPLOYEES</a:t>
          </a:r>
        </a:p>
      </xdr:txBody>
    </xdr:sp>
    <xdr:clientData/>
  </xdr:twoCellAnchor>
  <xdr:twoCellAnchor>
    <xdr:from>
      <xdr:col>4</xdr:col>
      <xdr:colOff>557284</xdr:colOff>
      <xdr:row>12</xdr:row>
      <xdr:rowOff>1</xdr:rowOff>
    </xdr:from>
    <xdr:to>
      <xdr:col>6</xdr:col>
      <xdr:colOff>614149</xdr:colOff>
      <xdr:row>14</xdr:row>
      <xdr:rowOff>181970</xdr:rowOff>
    </xdr:to>
    <xdr:sp macro="" textlink="KPI!A7">
      <xdr:nvSpPr>
        <xdr:cNvPr id="30" name="TextBox 29">
          <a:extLst>
            <a:ext uri="{FF2B5EF4-FFF2-40B4-BE49-F238E27FC236}">
              <a16:creationId xmlns:a16="http://schemas.microsoft.com/office/drawing/2014/main" id="{693844EA-E000-4711-F23C-1599C87C18B5}"/>
            </a:ext>
          </a:extLst>
        </xdr:cNvPr>
        <xdr:cNvSpPr txBox="1"/>
      </xdr:nvSpPr>
      <xdr:spPr>
        <a:xfrm>
          <a:off x="3195851" y="2320120"/>
          <a:ext cx="1376149"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7B3DFE-5FE4-4FA5-BB0D-0CFC00F6AAF6}" type="TxLink">
            <a:rPr lang="en-US" sz="2800" b="1" i="0" u="none" strike="noStrike">
              <a:solidFill>
                <a:schemeClr val="accent1">
                  <a:lumMod val="50000"/>
                </a:schemeClr>
              </a:solidFill>
              <a:latin typeface="Calibri"/>
              <a:ea typeface="Calibri"/>
              <a:cs typeface="Calibri"/>
            </a:rPr>
            <a:pPr algn="ctr"/>
            <a:t>1470</a:t>
          </a:fld>
          <a:endParaRPr lang="en-IN" sz="2800" b="1">
            <a:solidFill>
              <a:schemeClr val="accent1">
                <a:lumMod val="50000"/>
              </a:schemeClr>
            </a:solidFill>
          </a:endParaRPr>
        </a:p>
      </xdr:txBody>
    </xdr:sp>
    <xdr:clientData/>
  </xdr:twoCellAnchor>
  <xdr:twoCellAnchor>
    <xdr:from>
      <xdr:col>14</xdr:col>
      <xdr:colOff>11373</xdr:colOff>
      <xdr:row>10</xdr:row>
      <xdr:rowOff>90984</xdr:rowOff>
    </xdr:from>
    <xdr:to>
      <xdr:col>16</xdr:col>
      <xdr:colOff>614149</xdr:colOff>
      <xdr:row>12</xdr:row>
      <xdr:rowOff>68239</xdr:rowOff>
    </xdr:to>
    <xdr:sp macro="" textlink="">
      <xdr:nvSpPr>
        <xdr:cNvPr id="34" name="TextBox 33">
          <a:extLst>
            <a:ext uri="{FF2B5EF4-FFF2-40B4-BE49-F238E27FC236}">
              <a16:creationId xmlns:a16="http://schemas.microsoft.com/office/drawing/2014/main" id="{9DE21B7E-BA3E-789C-AC39-97DCF70CF98F}"/>
            </a:ext>
          </a:extLst>
        </xdr:cNvPr>
        <xdr:cNvSpPr txBox="1"/>
      </xdr:nvSpPr>
      <xdr:spPr>
        <a:xfrm>
          <a:off x="9246358" y="2024417"/>
          <a:ext cx="1922060" cy="363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rgbClr val="602928"/>
              </a:solidFill>
              <a:effectLst/>
              <a:latin typeface="+mn-lt"/>
              <a:ea typeface="+mn-ea"/>
              <a:cs typeface="+mn-cs"/>
            </a:rPr>
            <a:t>ACTIVE EMPLOYEES</a:t>
          </a:r>
          <a:endParaRPr lang="en-IN" sz="1600">
            <a:solidFill>
              <a:srgbClr val="602928"/>
            </a:solidFill>
            <a:effectLst/>
          </a:endParaRPr>
        </a:p>
        <a:p>
          <a:endParaRPr lang="en-IN" sz="1100"/>
        </a:p>
      </xdr:txBody>
    </xdr:sp>
    <xdr:clientData/>
  </xdr:twoCellAnchor>
  <xdr:twoCellAnchor>
    <xdr:from>
      <xdr:col>14</xdr:col>
      <xdr:colOff>113731</xdr:colOff>
      <xdr:row>12</xdr:row>
      <xdr:rowOff>159225</xdr:rowOff>
    </xdr:from>
    <xdr:to>
      <xdr:col>17</xdr:col>
      <xdr:colOff>272956</xdr:colOff>
      <xdr:row>14</xdr:row>
      <xdr:rowOff>56866</xdr:rowOff>
    </xdr:to>
    <xdr:sp macro="" textlink="KPI!D7">
      <xdr:nvSpPr>
        <xdr:cNvPr id="35" name="TextBox 34">
          <a:extLst>
            <a:ext uri="{FF2B5EF4-FFF2-40B4-BE49-F238E27FC236}">
              <a16:creationId xmlns:a16="http://schemas.microsoft.com/office/drawing/2014/main" id="{319BB0BC-747D-36B5-B143-01B13E631BB9}"/>
            </a:ext>
          </a:extLst>
        </xdr:cNvPr>
        <xdr:cNvSpPr txBox="1"/>
      </xdr:nvSpPr>
      <xdr:spPr>
        <a:xfrm>
          <a:off x="9348716" y="2479344"/>
          <a:ext cx="2138150" cy="284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FC3E4A-C134-4C94-A088-6D6994910BC0}" type="TxLink">
            <a:rPr lang="en-US" sz="2800" b="1" i="0" u="none" strike="noStrike">
              <a:solidFill>
                <a:schemeClr val="accent1">
                  <a:lumMod val="50000"/>
                </a:schemeClr>
              </a:solidFill>
              <a:latin typeface="Calibri"/>
              <a:ea typeface="Calibri"/>
              <a:cs typeface="Calibri"/>
            </a:rPr>
            <a:pPr marL="0" indent="0" algn="ctr"/>
            <a:t>1233</a:t>
          </a:fld>
          <a:endParaRPr lang="en-IN" sz="2800" b="1" i="0" u="none" strike="noStrike">
            <a:solidFill>
              <a:schemeClr val="accent1">
                <a:lumMod val="50000"/>
              </a:schemeClr>
            </a:solidFill>
            <a:latin typeface="Calibri"/>
            <a:ea typeface="Calibri"/>
            <a:cs typeface="Calibri"/>
          </a:endParaRPr>
        </a:p>
      </xdr:txBody>
    </xdr:sp>
    <xdr:clientData/>
  </xdr:twoCellAnchor>
  <xdr:twoCellAnchor>
    <xdr:from>
      <xdr:col>9</xdr:col>
      <xdr:colOff>546823</xdr:colOff>
      <xdr:row>10</xdr:row>
      <xdr:rowOff>168864</xdr:rowOff>
    </xdr:from>
    <xdr:to>
      <xdr:col>11</xdr:col>
      <xdr:colOff>341194</xdr:colOff>
      <xdr:row>12</xdr:row>
      <xdr:rowOff>102359</xdr:rowOff>
    </xdr:to>
    <xdr:sp macro="" textlink="">
      <xdr:nvSpPr>
        <xdr:cNvPr id="76" name="TextBox 75">
          <a:extLst>
            <a:ext uri="{FF2B5EF4-FFF2-40B4-BE49-F238E27FC236}">
              <a16:creationId xmlns:a16="http://schemas.microsoft.com/office/drawing/2014/main" id="{19DAEF74-5036-4B6F-979E-D12C9FF61E58}"/>
            </a:ext>
          </a:extLst>
        </xdr:cNvPr>
        <xdr:cNvSpPr txBox="1"/>
      </xdr:nvSpPr>
      <xdr:spPr>
        <a:xfrm>
          <a:off x="6483599" y="2102297"/>
          <a:ext cx="1113655" cy="32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rPr>
            <a:t>ATTRITION</a:t>
          </a:r>
        </a:p>
      </xdr:txBody>
    </xdr:sp>
    <xdr:clientData/>
  </xdr:twoCellAnchor>
  <xdr:twoCellAnchor>
    <xdr:from>
      <xdr:col>8</xdr:col>
      <xdr:colOff>615060</xdr:colOff>
      <xdr:row>11</xdr:row>
      <xdr:rowOff>157494</xdr:rowOff>
    </xdr:from>
    <xdr:to>
      <xdr:col>12</xdr:col>
      <xdr:colOff>136479</xdr:colOff>
      <xdr:row>15</xdr:row>
      <xdr:rowOff>113731</xdr:rowOff>
    </xdr:to>
    <xdr:sp macro="" textlink="KPI!B7">
      <xdr:nvSpPr>
        <xdr:cNvPr id="77" name="TextBox 76">
          <a:extLst>
            <a:ext uri="{FF2B5EF4-FFF2-40B4-BE49-F238E27FC236}">
              <a16:creationId xmlns:a16="http://schemas.microsoft.com/office/drawing/2014/main" id="{604CCE83-71A4-43C0-A32B-249D2D150863}"/>
            </a:ext>
          </a:extLst>
        </xdr:cNvPr>
        <xdr:cNvSpPr txBox="1"/>
      </xdr:nvSpPr>
      <xdr:spPr>
        <a:xfrm>
          <a:off x="5892194" y="2284270"/>
          <a:ext cx="2159986" cy="729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230326-2D4C-48B7-870B-9E68BEF8CFAD}" type="TxLink">
            <a:rPr lang="en-US" sz="2800" b="1" i="0" u="none" strike="noStrike">
              <a:solidFill>
                <a:schemeClr val="accent1">
                  <a:lumMod val="50000"/>
                </a:schemeClr>
              </a:solidFill>
              <a:latin typeface="Calibri"/>
              <a:ea typeface="Calibri"/>
              <a:cs typeface="Calibri"/>
            </a:rPr>
            <a:pPr marL="0" indent="0" algn="ctr"/>
            <a:t>237</a:t>
          </a:fld>
          <a:endParaRPr lang="en-IN" sz="2800" b="1" i="0" u="none" strike="noStrike">
            <a:solidFill>
              <a:schemeClr val="accent1">
                <a:lumMod val="50000"/>
              </a:schemeClr>
            </a:solidFill>
            <a:latin typeface="Calibri"/>
            <a:ea typeface="Calibri"/>
            <a:cs typeface="Calibri"/>
          </a:endParaRPr>
        </a:p>
      </xdr:txBody>
    </xdr:sp>
    <xdr:clientData/>
  </xdr:twoCellAnchor>
  <xdr:twoCellAnchor>
    <xdr:from>
      <xdr:col>18</xdr:col>
      <xdr:colOff>603688</xdr:colOff>
      <xdr:row>10</xdr:row>
      <xdr:rowOff>46093</xdr:rowOff>
    </xdr:from>
    <xdr:to>
      <xdr:col>21</xdr:col>
      <xdr:colOff>398059</xdr:colOff>
      <xdr:row>12</xdr:row>
      <xdr:rowOff>102359</xdr:rowOff>
    </xdr:to>
    <xdr:sp macro="" textlink="">
      <xdr:nvSpPr>
        <xdr:cNvPr id="78" name="TextBox 77">
          <a:extLst>
            <a:ext uri="{FF2B5EF4-FFF2-40B4-BE49-F238E27FC236}">
              <a16:creationId xmlns:a16="http://schemas.microsoft.com/office/drawing/2014/main" id="{D6AA2662-407E-48EC-AB07-67743AA6C3E6}"/>
            </a:ext>
          </a:extLst>
        </xdr:cNvPr>
        <xdr:cNvSpPr txBox="1"/>
      </xdr:nvSpPr>
      <xdr:spPr>
        <a:xfrm>
          <a:off x="12477240" y="1979526"/>
          <a:ext cx="1773297" cy="442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ATTRITION</a:t>
          </a:r>
          <a:r>
            <a:rPr lang="en-IN" sz="1600" b="1" baseline="0">
              <a:solidFill>
                <a:srgbClr val="602928"/>
              </a:solidFill>
            </a:rPr>
            <a:t> RATE</a:t>
          </a:r>
          <a:endParaRPr lang="en-IN" sz="1600" b="1">
            <a:solidFill>
              <a:srgbClr val="602928"/>
            </a:solidFill>
          </a:endParaRPr>
        </a:p>
      </xdr:txBody>
    </xdr:sp>
    <xdr:clientData/>
  </xdr:twoCellAnchor>
  <xdr:twoCellAnchor>
    <xdr:from>
      <xdr:col>19</xdr:col>
      <xdr:colOff>148761</xdr:colOff>
      <xdr:row>12</xdr:row>
      <xdr:rowOff>56867</xdr:rowOff>
    </xdr:from>
    <xdr:to>
      <xdr:col>21</xdr:col>
      <xdr:colOff>205626</xdr:colOff>
      <xdr:row>15</xdr:row>
      <xdr:rowOff>21019</xdr:rowOff>
    </xdr:to>
    <xdr:sp macro="" textlink="KPI!E7">
      <xdr:nvSpPr>
        <xdr:cNvPr id="79" name="TextBox 78">
          <a:extLst>
            <a:ext uri="{FF2B5EF4-FFF2-40B4-BE49-F238E27FC236}">
              <a16:creationId xmlns:a16="http://schemas.microsoft.com/office/drawing/2014/main" id="{EB181389-DD15-4588-BF12-7C271B1ED506}"/>
            </a:ext>
          </a:extLst>
        </xdr:cNvPr>
        <xdr:cNvSpPr txBox="1"/>
      </xdr:nvSpPr>
      <xdr:spPr>
        <a:xfrm>
          <a:off x="12681955" y="2376986"/>
          <a:ext cx="1376149" cy="54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488A7C-2D29-4F04-8B75-B0DE6669039E}" type="TxLink">
            <a:rPr lang="en-US" sz="2800" b="1" i="0" u="none" strike="noStrike">
              <a:solidFill>
                <a:schemeClr val="accent1">
                  <a:lumMod val="50000"/>
                </a:schemeClr>
              </a:solidFill>
              <a:latin typeface="Calibri"/>
              <a:ea typeface="Calibri"/>
              <a:cs typeface="Calibri"/>
            </a:rPr>
            <a:pPr marL="0" indent="0" algn="ctr"/>
            <a:t>16%</a:t>
          </a:fld>
          <a:endParaRPr lang="en-IN" sz="2800" b="1" i="0" u="none" strike="noStrike">
            <a:solidFill>
              <a:schemeClr val="accent1">
                <a:lumMod val="50000"/>
              </a:schemeClr>
            </a:solidFill>
            <a:latin typeface="Calibri"/>
            <a:ea typeface="Calibri"/>
            <a:cs typeface="Calibri"/>
          </a:endParaRPr>
        </a:p>
      </xdr:txBody>
    </xdr:sp>
    <xdr:clientData/>
  </xdr:twoCellAnchor>
  <xdr:twoCellAnchor>
    <xdr:from>
      <xdr:col>23</xdr:col>
      <xdr:colOff>376226</xdr:colOff>
      <xdr:row>9</xdr:row>
      <xdr:rowOff>191611</xdr:rowOff>
    </xdr:from>
    <xdr:to>
      <xdr:col>25</xdr:col>
      <xdr:colOff>511791</xdr:colOff>
      <xdr:row>12</xdr:row>
      <xdr:rowOff>90986</xdr:rowOff>
    </xdr:to>
    <xdr:sp macro="" textlink="">
      <xdr:nvSpPr>
        <xdr:cNvPr id="109" name="TextBox 108">
          <a:extLst>
            <a:ext uri="{FF2B5EF4-FFF2-40B4-BE49-F238E27FC236}">
              <a16:creationId xmlns:a16="http://schemas.microsoft.com/office/drawing/2014/main" id="{5A3F5ACB-3245-40BA-A28B-4D59BA38ADAB}"/>
            </a:ext>
          </a:extLst>
        </xdr:cNvPr>
        <xdr:cNvSpPr txBox="1"/>
      </xdr:nvSpPr>
      <xdr:spPr>
        <a:xfrm>
          <a:off x="15547987" y="1931701"/>
          <a:ext cx="1454849" cy="479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AVERAGE</a:t>
          </a:r>
          <a:r>
            <a:rPr lang="en-IN" sz="1600" b="1" baseline="0">
              <a:solidFill>
                <a:srgbClr val="602928"/>
              </a:solidFill>
            </a:rPr>
            <a:t> AGE</a:t>
          </a:r>
          <a:endParaRPr lang="en-IN" sz="1600" b="1">
            <a:solidFill>
              <a:srgbClr val="602928"/>
            </a:solidFill>
          </a:endParaRPr>
        </a:p>
      </xdr:txBody>
    </xdr:sp>
    <xdr:clientData/>
  </xdr:twoCellAnchor>
  <xdr:twoCellAnchor>
    <xdr:from>
      <xdr:col>23</xdr:col>
      <xdr:colOff>501326</xdr:colOff>
      <xdr:row>11</xdr:row>
      <xdr:rowOff>112004</xdr:rowOff>
    </xdr:from>
    <xdr:to>
      <xdr:col>25</xdr:col>
      <xdr:colOff>558191</xdr:colOff>
      <xdr:row>14</xdr:row>
      <xdr:rowOff>100630</xdr:rowOff>
    </xdr:to>
    <xdr:sp macro="" textlink="KPI!C7">
      <xdr:nvSpPr>
        <xdr:cNvPr id="110" name="TextBox 109">
          <a:extLst>
            <a:ext uri="{FF2B5EF4-FFF2-40B4-BE49-F238E27FC236}">
              <a16:creationId xmlns:a16="http://schemas.microsoft.com/office/drawing/2014/main" id="{1C489AE6-F393-4ABA-9F52-C1A2B6C7CB87}"/>
            </a:ext>
          </a:extLst>
        </xdr:cNvPr>
        <xdr:cNvSpPr txBox="1"/>
      </xdr:nvSpPr>
      <xdr:spPr>
        <a:xfrm>
          <a:off x="15673087" y="2238780"/>
          <a:ext cx="1376149"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C1AD22-F66E-484B-9D89-F833DED92F57}" type="TxLink">
            <a:rPr lang="en-US" sz="2800" b="1" i="0" u="none" strike="noStrike">
              <a:solidFill>
                <a:schemeClr val="accent1">
                  <a:lumMod val="50000"/>
                </a:schemeClr>
              </a:solidFill>
              <a:latin typeface="Calibri"/>
              <a:ea typeface="Calibri"/>
              <a:cs typeface="Calibri"/>
            </a:rPr>
            <a:pPr marL="0" indent="0" algn="ctr"/>
            <a:t>37</a:t>
          </a:fld>
          <a:endParaRPr lang="en-IN" sz="2800" b="1" i="0" u="none" strike="noStrike">
            <a:solidFill>
              <a:schemeClr val="accent1">
                <a:lumMod val="50000"/>
              </a:schemeClr>
            </a:solidFill>
            <a:latin typeface="Calibri"/>
            <a:ea typeface="Calibri"/>
            <a:cs typeface="Calibri"/>
          </a:endParaRPr>
        </a:p>
      </xdr:txBody>
    </xdr:sp>
    <xdr:clientData/>
  </xdr:twoCellAnchor>
  <xdr:oneCellAnchor>
    <xdr:from>
      <xdr:col>8</xdr:col>
      <xdr:colOff>22747</xdr:colOff>
      <xdr:row>9</xdr:row>
      <xdr:rowOff>168864</xdr:rowOff>
    </xdr:from>
    <xdr:ext cx="539001" cy="411166"/>
    <xdr:pic>
      <xdr:nvPicPr>
        <xdr:cNvPr id="111" name="image4.png">
          <a:extLst>
            <a:ext uri="{FF2B5EF4-FFF2-40B4-BE49-F238E27FC236}">
              <a16:creationId xmlns:a16="http://schemas.microsoft.com/office/drawing/2014/main" id="{A7048A4A-E508-4C19-BA93-BF3C09CAF8B6}"/>
            </a:ext>
          </a:extLst>
        </xdr:cNvPr>
        <xdr:cNvPicPr preferRelativeResize="0"/>
      </xdr:nvPicPr>
      <xdr:blipFill>
        <a:blip xmlns:r="http://schemas.openxmlformats.org/officeDocument/2006/relationships" r:embed="rId1" cstate="print"/>
        <a:stretch>
          <a:fillRect/>
        </a:stretch>
      </xdr:blipFill>
      <xdr:spPr>
        <a:xfrm>
          <a:off x="5299881" y="1908954"/>
          <a:ext cx="539001" cy="411166"/>
        </a:xfrm>
        <a:prstGeom prst="rect">
          <a:avLst/>
        </a:prstGeom>
        <a:noFill/>
      </xdr:spPr>
    </xdr:pic>
    <xdr:clientData fLocksWithSheet="0"/>
  </xdr:oneCellAnchor>
  <xdr:oneCellAnchor>
    <xdr:from>
      <xdr:col>17</xdr:col>
      <xdr:colOff>227463</xdr:colOff>
      <xdr:row>9</xdr:row>
      <xdr:rowOff>157491</xdr:rowOff>
    </xdr:from>
    <xdr:ext cx="681592" cy="536269"/>
    <xdr:pic>
      <xdr:nvPicPr>
        <xdr:cNvPr id="112" name="image5.png">
          <a:extLst>
            <a:ext uri="{FF2B5EF4-FFF2-40B4-BE49-F238E27FC236}">
              <a16:creationId xmlns:a16="http://schemas.microsoft.com/office/drawing/2014/main" id="{15EF41ED-535D-43F8-A276-A9E34D5695AB}"/>
            </a:ext>
          </a:extLst>
        </xdr:cNvPr>
        <xdr:cNvPicPr preferRelativeResize="0"/>
      </xdr:nvPicPr>
      <xdr:blipFill>
        <a:blip xmlns:r="http://schemas.openxmlformats.org/officeDocument/2006/relationships" r:embed="rId2" cstate="print"/>
        <a:stretch>
          <a:fillRect/>
        </a:stretch>
      </xdr:blipFill>
      <xdr:spPr>
        <a:xfrm>
          <a:off x="11441373" y="1897581"/>
          <a:ext cx="681592" cy="536269"/>
        </a:xfrm>
        <a:prstGeom prst="rect">
          <a:avLst/>
        </a:prstGeom>
        <a:noFill/>
      </xdr:spPr>
    </xdr:pic>
    <xdr:clientData fLocksWithSheet="0"/>
  </xdr:oneCellAnchor>
  <xdr:oneCellAnchor>
    <xdr:from>
      <xdr:col>22</xdr:col>
      <xdr:colOff>2</xdr:colOff>
      <xdr:row>9</xdr:row>
      <xdr:rowOff>123372</xdr:rowOff>
    </xdr:from>
    <xdr:ext cx="744002" cy="502150"/>
    <xdr:pic>
      <xdr:nvPicPr>
        <xdr:cNvPr id="113" name="image2.png">
          <a:extLst>
            <a:ext uri="{FF2B5EF4-FFF2-40B4-BE49-F238E27FC236}">
              <a16:creationId xmlns:a16="http://schemas.microsoft.com/office/drawing/2014/main" id="{3A6BBDAF-6512-4C37-9414-D28BDBB8DE98}"/>
            </a:ext>
          </a:extLst>
        </xdr:cNvPr>
        <xdr:cNvPicPr preferRelativeResize="0"/>
      </xdr:nvPicPr>
      <xdr:blipFill>
        <a:blip xmlns:r="http://schemas.openxmlformats.org/officeDocument/2006/relationships" r:embed="rId3" cstate="print"/>
        <a:stretch>
          <a:fillRect/>
        </a:stretch>
      </xdr:blipFill>
      <xdr:spPr>
        <a:xfrm>
          <a:off x="14512121" y="1863462"/>
          <a:ext cx="744002" cy="502150"/>
        </a:xfrm>
        <a:prstGeom prst="rect">
          <a:avLst/>
        </a:prstGeom>
        <a:noFill/>
      </xdr:spPr>
    </xdr:pic>
    <xdr:clientData fLocksWithSheet="0"/>
  </xdr:oneCellAnchor>
  <xdr:oneCellAnchor>
    <xdr:from>
      <xdr:col>26</xdr:col>
      <xdr:colOff>614150</xdr:colOff>
      <xdr:row>9</xdr:row>
      <xdr:rowOff>157491</xdr:rowOff>
    </xdr:from>
    <xdr:ext cx="626006" cy="377045"/>
    <xdr:pic>
      <xdr:nvPicPr>
        <xdr:cNvPr id="114" name="image6.png">
          <a:extLst>
            <a:ext uri="{FF2B5EF4-FFF2-40B4-BE49-F238E27FC236}">
              <a16:creationId xmlns:a16="http://schemas.microsoft.com/office/drawing/2014/main" id="{D66300FB-A8E2-4ADF-BDC4-101317AC54D3}"/>
            </a:ext>
          </a:extLst>
        </xdr:cNvPr>
        <xdr:cNvPicPr preferRelativeResize="0"/>
      </xdr:nvPicPr>
      <xdr:blipFill>
        <a:blip xmlns:r="http://schemas.openxmlformats.org/officeDocument/2006/relationships" r:embed="rId4" cstate="print"/>
        <a:stretch>
          <a:fillRect/>
        </a:stretch>
      </xdr:blipFill>
      <xdr:spPr>
        <a:xfrm>
          <a:off x="17764837" y="1897581"/>
          <a:ext cx="626006" cy="377045"/>
        </a:xfrm>
        <a:prstGeom prst="rect">
          <a:avLst/>
        </a:prstGeom>
        <a:noFill/>
      </xdr:spPr>
    </xdr:pic>
    <xdr:clientData fLocksWithSheet="0"/>
  </xdr:oneCellAnchor>
  <xdr:oneCellAnchor>
    <xdr:from>
      <xdr:col>12</xdr:col>
      <xdr:colOff>318449</xdr:colOff>
      <xdr:row>9</xdr:row>
      <xdr:rowOff>157490</xdr:rowOff>
    </xdr:from>
    <xdr:ext cx="714148" cy="513523"/>
    <xdr:pic>
      <xdr:nvPicPr>
        <xdr:cNvPr id="115" name="image7.png">
          <a:extLst>
            <a:ext uri="{FF2B5EF4-FFF2-40B4-BE49-F238E27FC236}">
              <a16:creationId xmlns:a16="http://schemas.microsoft.com/office/drawing/2014/main" id="{B16FAB44-973E-4B13-A6DB-C81602E590C8}"/>
            </a:ext>
          </a:extLst>
        </xdr:cNvPr>
        <xdr:cNvPicPr preferRelativeResize="0"/>
      </xdr:nvPicPr>
      <xdr:blipFill>
        <a:blip xmlns:r="http://schemas.openxmlformats.org/officeDocument/2006/relationships" r:embed="rId5" cstate="print"/>
        <a:stretch>
          <a:fillRect/>
        </a:stretch>
      </xdr:blipFill>
      <xdr:spPr>
        <a:xfrm>
          <a:off x="8234150" y="1897580"/>
          <a:ext cx="714148" cy="513523"/>
        </a:xfrm>
        <a:prstGeom prst="rect">
          <a:avLst/>
        </a:prstGeom>
        <a:noFill/>
      </xdr:spPr>
    </xdr:pic>
    <xdr:clientData fLocksWithSheet="0"/>
  </xdr:oneCellAnchor>
  <xdr:twoCellAnchor>
    <xdr:from>
      <xdr:col>6</xdr:col>
      <xdr:colOff>181971</xdr:colOff>
      <xdr:row>3</xdr:row>
      <xdr:rowOff>170597</xdr:rowOff>
    </xdr:from>
    <xdr:to>
      <xdr:col>17</xdr:col>
      <xdr:colOff>295703</xdr:colOff>
      <xdr:row>8</xdr:row>
      <xdr:rowOff>56866</xdr:rowOff>
    </xdr:to>
    <xdr:sp macro="" textlink="">
      <xdr:nvSpPr>
        <xdr:cNvPr id="116" name="TextBox 115">
          <a:extLst>
            <a:ext uri="{FF2B5EF4-FFF2-40B4-BE49-F238E27FC236}">
              <a16:creationId xmlns:a16="http://schemas.microsoft.com/office/drawing/2014/main" id="{7DA2BAB7-DDF3-2F58-3F6E-9BCA2A4A502D}"/>
            </a:ext>
          </a:extLst>
        </xdr:cNvPr>
        <xdr:cNvSpPr txBox="1"/>
      </xdr:nvSpPr>
      <xdr:spPr>
        <a:xfrm>
          <a:off x="4139822" y="750627"/>
          <a:ext cx="7369791" cy="85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0"/>
            <a:t>HR ANALYTICS DASHBOARD</a:t>
          </a:r>
        </a:p>
      </xdr:txBody>
    </xdr:sp>
    <xdr:clientData/>
  </xdr:twoCellAnchor>
  <xdr:oneCellAnchor>
    <xdr:from>
      <xdr:col>4</xdr:col>
      <xdr:colOff>353477</xdr:colOff>
      <xdr:row>4</xdr:row>
      <xdr:rowOff>66507</xdr:rowOff>
    </xdr:from>
    <xdr:ext cx="943060" cy="672747"/>
    <xdr:pic>
      <xdr:nvPicPr>
        <xdr:cNvPr id="117" name="image1.png">
          <a:extLst>
            <a:ext uri="{FF2B5EF4-FFF2-40B4-BE49-F238E27FC236}">
              <a16:creationId xmlns:a16="http://schemas.microsoft.com/office/drawing/2014/main" id="{7E745020-DCD1-4B49-9A62-79CC6D3E9951}"/>
            </a:ext>
          </a:extLst>
        </xdr:cNvPr>
        <xdr:cNvPicPr preferRelativeResize="0"/>
      </xdr:nvPicPr>
      <xdr:blipFill>
        <a:blip xmlns:r="http://schemas.openxmlformats.org/officeDocument/2006/relationships" r:embed="rId6" cstate="print"/>
        <a:stretch>
          <a:fillRect/>
        </a:stretch>
      </xdr:blipFill>
      <xdr:spPr>
        <a:xfrm>
          <a:off x="2992044" y="839880"/>
          <a:ext cx="943060" cy="672747"/>
        </a:xfrm>
        <a:prstGeom prst="rect">
          <a:avLst/>
        </a:prstGeom>
        <a:noFill/>
      </xdr:spPr>
    </xdr:pic>
    <xdr:clientData fLocksWithSheet="0"/>
  </xdr:oneCellAnchor>
  <xdr:twoCellAnchor>
    <xdr:from>
      <xdr:col>19</xdr:col>
      <xdr:colOff>466300</xdr:colOff>
      <xdr:row>3</xdr:row>
      <xdr:rowOff>181969</xdr:rowOff>
    </xdr:from>
    <xdr:to>
      <xdr:col>22</xdr:col>
      <xdr:colOff>477673</xdr:colOff>
      <xdr:row>8</xdr:row>
      <xdr:rowOff>68238</xdr:rowOff>
    </xdr:to>
    <xdr:sp macro="" textlink="">
      <xdr:nvSpPr>
        <xdr:cNvPr id="118" name="TextBox 117">
          <a:extLst>
            <a:ext uri="{FF2B5EF4-FFF2-40B4-BE49-F238E27FC236}">
              <a16:creationId xmlns:a16="http://schemas.microsoft.com/office/drawing/2014/main" id="{1EB5B02A-3708-8199-809C-A55D56543D3C}"/>
            </a:ext>
          </a:extLst>
        </xdr:cNvPr>
        <xdr:cNvSpPr txBox="1"/>
      </xdr:nvSpPr>
      <xdr:spPr>
        <a:xfrm>
          <a:off x="12999494" y="761999"/>
          <a:ext cx="1990298" cy="85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JOB </a:t>
          </a:r>
        </a:p>
        <a:p>
          <a:pPr algn="ctr"/>
          <a:r>
            <a:rPr lang="en-IN" sz="1600" b="1"/>
            <a:t>SATISFACTION</a:t>
          </a:r>
        </a:p>
        <a:p>
          <a:pPr algn="ctr"/>
          <a:r>
            <a:rPr lang="en-IN" sz="1600" b="1"/>
            <a:t>RATING</a:t>
          </a:r>
        </a:p>
      </xdr:txBody>
    </xdr:sp>
    <xdr:clientData/>
  </xdr:twoCellAnchor>
  <xdr:oneCellAnchor>
    <xdr:from>
      <xdr:col>18</xdr:col>
      <xdr:colOff>205625</xdr:colOff>
      <xdr:row>3</xdr:row>
      <xdr:rowOff>123372</xdr:rowOff>
    </xdr:from>
    <xdr:ext cx="863449" cy="547643"/>
    <xdr:pic>
      <xdr:nvPicPr>
        <xdr:cNvPr id="119" name="image3.png">
          <a:extLst>
            <a:ext uri="{FF2B5EF4-FFF2-40B4-BE49-F238E27FC236}">
              <a16:creationId xmlns:a16="http://schemas.microsoft.com/office/drawing/2014/main" id="{0D06A132-7A63-4DCA-BA23-728A26A60EDC}"/>
            </a:ext>
          </a:extLst>
        </xdr:cNvPr>
        <xdr:cNvPicPr preferRelativeResize="0"/>
      </xdr:nvPicPr>
      <xdr:blipFill>
        <a:blip xmlns:r="http://schemas.openxmlformats.org/officeDocument/2006/relationships" r:embed="rId7" cstate="print"/>
        <a:stretch>
          <a:fillRect/>
        </a:stretch>
      </xdr:blipFill>
      <xdr:spPr>
        <a:xfrm>
          <a:off x="12079177" y="703402"/>
          <a:ext cx="863449" cy="547643"/>
        </a:xfrm>
        <a:prstGeom prst="rect">
          <a:avLst/>
        </a:prstGeom>
        <a:noFill/>
      </xdr:spPr>
    </xdr:pic>
    <xdr:clientData fLocksWithSheet="0"/>
  </xdr:oneCellAnchor>
  <xdr:twoCellAnchor>
    <xdr:from>
      <xdr:col>20</xdr:col>
      <xdr:colOff>364846</xdr:colOff>
      <xdr:row>1</xdr:row>
      <xdr:rowOff>45491</xdr:rowOff>
    </xdr:from>
    <xdr:to>
      <xdr:col>24</xdr:col>
      <xdr:colOff>386684</xdr:colOff>
      <xdr:row>8</xdr:row>
      <xdr:rowOff>125103</xdr:rowOff>
    </xdr:to>
    <xdr:graphicFrame macro="">
      <xdr:nvGraphicFramePr>
        <xdr:cNvPr id="120" name="Chart 119">
          <a:extLst>
            <a:ext uri="{FF2B5EF4-FFF2-40B4-BE49-F238E27FC236}">
              <a16:creationId xmlns:a16="http://schemas.microsoft.com/office/drawing/2014/main" id="{937C690C-69BF-4607-9E6F-51D73557E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444463</xdr:colOff>
      <xdr:row>24</xdr:row>
      <xdr:rowOff>99218</xdr:rowOff>
    </xdr:from>
    <xdr:to>
      <xdr:col>10</xdr:col>
      <xdr:colOff>599295</xdr:colOff>
      <xdr:row>32</xdr:row>
      <xdr:rowOff>147417</xdr:rowOff>
    </xdr:to>
    <xdr:grpSp>
      <xdr:nvGrpSpPr>
        <xdr:cNvPr id="39" name="Group 38">
          <a:extLst>
            <a:ext uri="{FF2B5EF4-FFF2-40B4-BE49-F238E27FC236}">
              <a16:creationId xmlns:a16="http://schemas.microsoft.com/office/drawing/2014/main" id="{2B8357E2-A2F1-1805-37C1-A58D095CEE85}"/>
            </a:ext>
          </a:extLst>
        </xdr:cNvPr>
        <xdr:cNvGrpSpPr/>
      </xdr:nvGrpSpPr>
      <xdr:grpSpPr>
        <a:xfrm>
          <a:off x="3083030" y="4739457"/>
          <a:ext cx="4112683" cy="1594945"/>
          <a:chOff x="2946552" y="4830442"/>
          <a:chExt cx="4112683" cy="1594945"/>
        </a:xfrm>
      </xdr:grpSpPr>
      <xdr:graphicFrame macro="">
        <xdr:nvGraphicFramePr>
          <xdr:cNvPr id="31" name="Chart 30">
            <a:extLst>
              <a:ext uri="{FF2B5EF4-FFF2-40B4-BE49-F238E27FC236}">
                <a16:creationId xmlns:a16="http://schemas.microsoft.com/office/drawing/2014/main" id="{27B41155-7941-4BC3-B263-8499CD4E3567}"/>
              </a:ext>
            </a:extLst>
          </xdr:cNvPr>
          <xdr:cNvGraphicFramePr>
            <a:graphicFrameLocks/>
          </xdr:cNvGraphicFramePr>
        </xdr:nvGraphicFramePr>
        <xdr:xfrm>
          <a:off x="2946552" y="4985387"/>
          <a:ext cx="1440000" cy="1440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2" name="Chart 31">
            <a:extLst>
              <a:ext uri="{FF2B5EF4-FFF2-40B4-BE49-F238E27FC236}">
                <a16:creationId xmlns:a16="http://schemas.microsoft.com/office/drawing/2014/main" id="{69B149E2-7CFC-487D-BD81-44CCE5A90345}"/>
              </a:ext>
            </a:extLst>
          </xdr:cNvPr>
          <xdr:cNvGraphicFramePr>
            <a:graphicFrameLocks/>
          </xdr:cNvGraphicFramePr>
        </xdr:nvGraphicFramePr>
        <xdr:xfrm>
          <a:off x="5619235" y="4985387"/>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36" name="Graphic 35" descr="Male profile with solid fill">
            <a:extLst>
              <a:ext uri="{FF2B5EF4-FFF2-40B4-BE49-F238E27FC236}">
                <a16:creationId xmlns:a16="http://schemas.microsoft.com/office/drawing/2014/main" id="{C07BFC6A-0579-EDB2-DBC1-980CB962545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15553" y="4830442"/>
            <a:ext cx="914400" cy="914400"/>
          </a:xfrm>
          <a:prstGeom prst="rect">
            <a:avLst/>
          </a:prstGeom>
        </xdr:spPr>
      </xdr:pic>
      <xdr:pic>
        <xdr:nvPicPr>
          <xdr:cNvPr id="38" name="Graphic 37" descr="Female Profile with solid fill">
            <a:extLst>
              <a:ext uri="{FF2B5EF4-FFF2-40B4-BE49-F238E27FC236}">
                <a16:creationId xmlns:a16="http://schemas.microsoft.com/office/drawing/2014/main" id="{EC933252-E768-6DC2-3F11-34095C46595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971374" y="4830442"/>
            <a:ext cx="914400" cy="914400"/>
          </a:xfrm>
          <a:prstGeom prst="rect">
            <a:avLst/>
          </a:prstGeom>
        </xdr:spPr>
      </xdr:pic>
    </xdr:grpSp>
    <xdr:clientData/>
  </xdr:twoCellAnchor>
  <xdr:twoCellAnchor>
    <xdr:from>
      <xdr:col>4</xdr:col>
      <xdr:colOff>386687</xdr:colOff>
      <xdr:row>16</xdr:row>
      <xdr:rowOff>113730</xdr:rowOff>
    </xdr:from>
    <xdr:to>
      <xdr:col>10</xdr:col>
      <xdr:colOff>648269</xdr:colOff>
      <xdr:row>18</xdr:row>
      <xdr:rowOff>102357</xdr:rowOff>
    </xdr:to>
    <xdr:sp macro="" textlink="">
      <xdr:nvSpPr>
        <xdr:cNvPr id="40" name="TextBox 39">
          <a:extLst>
            <a:ext uri="{FF2B5EF4-FFF2-40B4-BE49-F238E27FC236}">
              <a16:creationId xmlns:a16="http://schemas.microsoft.com/office/drawing/2014/main" id="{6D2BDBB9-22EA-EEB3-E271-30EAF8AD263E}"/>
            </a:ext>
          </a:extLst>
        </xdr:cNvPr>
        <xdr:cNvSpPr txBox="1"/>
      </xdr:nvSpPr>
      <xdr:spPr>
        <a:xfrm>
          <a:off x="3025254" y="3207223"/>
          <a:ext cx="4219433" cy="37531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a:t>
          </a:r>
          <a:r>
            <a:rPr lang="en-IN" sz="1800" b="1" baseline="0"/>
            <a:t> Employees By Gender</a:t>
          </a:r>
          <a:endParaRPr lang="en-IN" sz="1800" b="1"/>
        </a:p>
      </xdr:txBody>
    </xdr:sp>
    <xdr:clientData/>
  </xdr:twoCellAnchor>
  <xdr:twoCellAnchor editAs="oneCell">
    <xdr:from>
      <xdr:col>6</xdr:col>
      <xdr:colOff>262491</xdr:colOff>
      <xdr:row>18</xdr:row>
      <xdr:rowOff>191610</xdr:rowOff>
    </xdr:from>
    <xdr:to>
      <xdr:col>9</xdr:col>
      <xdr:colOff>112366</xdr:colOff>
      <xdr:row>24</xdr:row>
      <xdr:rowOff>90730</xdr:rowOff>
    </xdr:to>
    <mc:AlternateContent xmlns:mc="http://schemas.openxmlformats.org/markup-compatibility/2006" xmlns:a14="http://schemas.microsoft.com/office/drawing/2010/main">
      <mc:Choice Requires="a14">
        <xdr:graphicFrame macro="">
          <xdr:nvGraphicFramePr>
            <xdr:cNvPr id="41" name="Gender 3">
              <a:extLst>
                <a:ext uri="{FF2B5EF4-FFF2-40B4-BE49-F238E27FC236}">
                  <a16:creationId xmlns:a16="http://schemas.microsoft.com/office/drawing/2014/main" id="{20A95EE5-612E-4858-A0FC-21177DD41216}"/>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220342" y="3671789"/>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433088</xdr:colOff>
      <xdr:row>19</xdr:row>
      <xdr:rowOff>102358</xdr:rowOff>
    </xdr:from>
    <xdr:to>
      <xdr:col>19</xdr:col>
      <xdr:colOff>523163</xdr:colOff>
      <xdr:row>33</xdr:row>
      <xdr:rowOff>34120</xdr:rowOff>
    </xdr:to>
    <xdr:graphicFrame macro="">
      <xdr:nvGraphicFramePr>
        <xdr:cNvPr id="42" name="Chart 41">
          <a:extLst>
            <a:ext uri="{FF2B5EF4-FFF2-40B4-BE49-F238E27FC236}">
              <a16:creationId xmlns:a16="http://schemas.microsoft.com/office/drawing/2014/main" id="{366C0111-3C4A-4B76-AF00-9AB331B89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546818</xdr:colOff>
      <xdr:row>16</xdr:row>
      <xdr:rowOff>100624</xdr:rowOff>
    </xdr:from>
    <xdr:to>
      <xdr:col>18</xdr:col>
      <xdr:colOff>193343</xdr:colOff>
      <xdr:row>18</xdr:row>
      <xdr:rowOff>79611</xdr:rowOff>
    </xdr:to>
    <xdr:sp macro="" textlink="">
      <xdr:nvSpPr>
        <xdr:cNvPr id="44" name="TextBox 43">
          <a:extLst>
            <a:ext uri="{FF2B5EF4-FFF2-40B4-BE49-F238E27FC236}">
              <a16:creationId xmlns:a16="http://schemas.microsoft.com/office/drawing/2014/main" id="{77C57519-14C4-456D-87FA-B6DF0E1E5504}"/>
            </a:ext>
          </a:extLst>
        </xdr:cNvPr>
        <xdr:cNvSpPr txBox="1"/>
      </xdr:nvSpPr>
      <xdr:spPr>
        <a:xfrm>
          <a:off x="7802878" y="3194117"/>
          <a:ext cx="4264017" cy="36567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Education</a:t>
          </a:r>
          <a:r>
            <a:rPr lang="en-IN" sz="1800" b="1" baseline="0"/>
            <a:t> wise Attrition</a:t>
          </a:r>
          <a:endParaRPr lang="en-IN" sz="1800" b="1"/>
        </a:p>
      </xdr:txBody>
    </xdr:sp>
    <xdr:clientData/>
  </xdr:twoCellAnchor>
  <xdr:twoCellAnchor>
    <xdr:from>
      <xdr:col>20</xdr:col>
      <xdr:colOff>262491</xdr:colOff>
      <xdr:row>19</xdr:row>
      <xdr:rowOff>180238</xdr:rowOff>
    </xdr:from>
    <xdr:to>
      <xdr:col>27</xdr:col>
      <xdr:colOff>329821</xdr:colOff>
      <xdr:row>32</xdr:row>
      <xdr:rowOff>170597</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2178F348-702D-43AE-AFF9-871139BA83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3368891" y="3944518"/>
              <a:ext cx="4852690" cy="24744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342103</xdr:colOff>
      <xdr:row>16</xdr:row>
      <xdr:rowOff>89252</xdr:rowOff>
    </xdr:from>
    <xdr:to>
      <xdr:col>26</xdr:col>
      <xdr:colOff>648269</xdr:colOff>
      <xdr:row>18</xdr:row>
      <xdr:rowOff>68239</xdr:rowOff>
    </xdr:to>
    <xdr:sp macro="" textlink="">
      <xdr:nvSpPr>
        <xdr:cNvPr id="46" name="TextBox 45">
          <a:extLst>
            <a:ext uri="{FF2B5EF4-FFF2-40B4-BE49-F238E27FC236}">
              <a16:creationId xmlns:a16="http://schemas.microsoft.com/office/drawing/2014/main" id="{483A75DB-E54B-4956-BA81-7CC34EFAF6F1}"/>
            </a:ext>
          </a:extLst>
        </xdr:cNvPr>
        <xdr:cNvSpPr txBox="1"/>
      </xdr:nvSpPr>
      <xdr:spPr>
        <a:xfrm>
          <a:off x="13534939" y="3182745"/>
          <a:ext cx="4264017" cy="36567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Attrition</a:t>
          </a:r>
          <a:r>
            <a:rPr lang="en-IN" sz="1800" b="1" baseline="0"/>
            <a:t> By Job Role</a:t>
          </a:r>
          <a:endParaRPr lang="en-IN" sz="1800" b="1"/>
        </a:p>
      </xdr:txBody>
    </xdr:sp>
    <xdr:clientData/>
  </xdr:twoCellAnchor>
  <xdr:twoCellAnchor>
    <xdr:from>
      <xdr:col>4</xdr:col>
      <xdr:colOff>330729</xdr:colOff>
      <xdr:row>38</xdr:row>
      <xdr:rowOff>22746</xdr:rowOff>
    </xdr:from>
    <xdr:to>
      <xdr:col>11</xdr:col>
      <xdr:colOff>-1</xdr:colOff>
      <xdr:row>50</xdr:row>
      <xdr:rowOff>141456</xdr:rowOff>
    </xdr:to>
    <xdr:graphicFrame macro="">
      <xdr:nvGraphicFramePr>
        <xdr:cNvPr id="47" name="Chart 46">
          <a:extLst>
            <a:ext uri="{FF2B5EF4-FFF2-40B4-BE49-F238E27FC236}">
              <a16:creationId xmlns:a16="http://schemas.microsoft.com/office/drawing/2014/main" id="{56AE6AE2-72A0-462C-BE36-61D406034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353476</xdr:colOff>
      <xdr:row>34</xdr:row>
      <xdr:rowOff>100625</xdr:rowOff>
    </xdr:from>
    <xdr:to>
      <xdr:col>11</xdr:col>
      <xdr:colOff>0</xdr:colOff>
      <xdr:row>36</xdr:row>
      <xdr:rowOff>79612</xdr:rowOff>
    </xdr:to>
    <xdr:sp macro="" textlink="">
      <xdr:nvSpPr>
        <xdr:cNvPr id="48" name="TextBox 47">
          <a:extLst>
            <a:ext uri="{FF2B5EF4-FFF2-40B4-BE49-F238E27FC236}">
              <a16:creationId xmlns:a16="http://schemas.microsoft.com/office/drawing/2014/main" id="{B2146EE5-BA0B-4923-99FA-E2E92F54E218}"/>
            </a:ext>
          </a:extLst>
        </xdr:cNvPr>
        <xdr:cNvSpPr txBox="1"/>
      </xdr:nvSpPr>
      <xdr:spPr>
        <a:xfrm>
          <a:off x="2992043" y="6674297"/>
          <a:ext cx="4264017" cy="36567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Department</a:t>
          </a:r>
          <a:r>
            <a:rPr lang="en-IN" sz="1800" b="1" baseline="0"/>
            <a:t> wise Attrition</a:t>
          </a:r>
          <a:endParaRPr lang="en-IN" sz="1800" b="1"/>
        </a:p>
      </xdr:txBody>
    </xdr:sp>
    <xdr:clientData/>
  </xdr:twoCellAnchor>
  <xdr:twoCellAnchor>
    <xdr:from>
      <xdr:col>11</xdr:col>
      <xdr:colOff>364850</xdr:colOff>
      <xdr:row>37</xdr:row>
      <xdr:rowOff>168864</xdr:rowOff>
    </xdr:from>
    <xdr:to>
      <xdr:col>17</xdr:col>
      <xdr:colOff>341194</xdr:colOff>
      <xdr:row>50</xdr:row>
      <xdr:rowOff>125104</xdr:rowOff>
    </xdr:to>
    <xdr:graphicFrame macro="">
      <xdr:nvGraphicFramePr>
        <xdr:cNvPr id="49" name="Chart 48">
          <a:extLst>
            <a:ext uri="{FF2B5EF4-FFF2-40B4-BE49-F238E27FC236}">
              <a16:creationId xmlns:a16="http://schemas.microsoft.com/office/drawing/2014/main" id="{ADBDB0C3-6D0C-4896-BF45-CF3D8EC14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478582</xdr:colOff>
      <xdr:row>34</xdr:row>
      <xdr:rowOff>89252</xdr:rowOff>
    </xdr:from>
    <xdr:to>
      <xdr:col>17</xdr:col>
      <xdr:colOff>125106</xdr:colOff>
      <xdr:row>36</xdr:row>
      <xdr:rowOff>68239</xdr:rowOff>
    </xdr:to>
    <xdr:sp macro="" textlink="">
      <xdr:nvSpPr>
        <xdr:cNvPr id="33" name="TextBox 32">
          <a:extLst>
            <a:ext uri="{FF2B5EF4-FFF2-40B4-BE49-F238E27FC236}">
              <a16:creationId xmlns:a16="http://schemas.microsoft.com/office/drawing/2014/main" id="{B30E7468-CC69-4DEB-9D90-F46306E7F0B8}"/>
            </a:ext>
          </a:extLst>
        </xdr:cNvPr>
        <xdr:cNvSpPr txBox="1"/>
      </xdr:nvSpPr>
      <xdr:spPr>
        <a:xfrm>
          <a:off x="7734642" y="6662924"/>
          <a:ext cx="3604374" cy="36567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Attrition By Age Group</a:t>
          </a:r>
        </a:p>
        <a:p>
          <a:endParaRPr lang="en-IN" sz="1800" b="1"/>
        </a:p>
      </xdr:txBody>
    </xdr:sp>
    <xdr:clientData/>
  </xdr:twoCellAnchor>
  <xdr:twoCellAnchor>
    <xdr:from>
      <xdr:col>17</xdr:col>
      <xdr:colOff>649180</xdr:colOff>
      <xdr:row>37</xdr:row>
      <xdr:rowOff>22747</xdr:rowOff>
    </xdr:from>
    <xdr:to>
      <xdr:col>22</xdr:col>
      <xdr:colOff>534538</xdr:colOff>
      <xdr:row>50</xdr:row>
      <xdr:rowOff>148393</xdr:rowOff>
    </xdr:to>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0EF6955E-75B6-4D50-AF87-E3755A39AB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1789620" y="7223647"/>
              <a:ext cx="3161958" cy="26021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69148</xdr:colOff>
      <xdr:row>34</xdr:row>
      <xdr:rowOff>89252</xdr:rowOff>
    </xdr:from>
    <xdr:to>
      <xdr:col>22</xdr:col>
      <xdr:colOff>545911</xdr:colOff>
      <xdr:row>36</xdr:row>
      <xdr:rowOff>68239</xdr:rowOff>
    </xdr:to>
    <xdr:sp macro="" textlink="">
      <xdr:nvSpPr>
        <xdr:cNvPr id="50" name="TextBox 49">
          <a:extLst>
            <a:ext uri="{FF2B5EF4-FFF2-40B4-BE49-F238E27FC236}">
              <a16:creationId xmlns:a16="http://schemas.microsoft.com/office/drawing/2014/main" id="{7D0654CC-EA46-4755-90C2-EFE3C27FF3AD}"/>
            </a:ext>
          </a:extLst>
        </xdr:cNvPr>
        <xdr:cNvSpPr txBox="1"/>
      </xdr:nvSpPr>
      <xdr:spPr>
        <a:xfrm>
          <a:off x="11942700" y="6662924"/>
          <a:ext cx="3115330" cy="36567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Attrition By Marital Status</a:t>
          </a:r>
        </a:p>
        <a:p>
          <a:endParaRPr lang="en-IN" sz="1800" b="1"/>
        </a:p>
      </xdr:txBody>
    </xdr:sp>
    <xdr:clientData/>
  </xdr:twoCellAnchor>
  <xdr:twoCellAnchor editAs="oneCell">
    <xdr:from>
      <xdr:col>25</xdr:col>
      <xdr:colOff>516909</xdr:colOff>
      <xdr:row>36</xdr:row>
      <xdr:rowOff>179126</xdr:rowOff>
    </xdr:from>
    <xdr:to>
      <xdr:col>27</xdr:col>
      <xdr:colOff>341194</xdr:colOff>
      <xdr:row>50</xdr:row>
      <xdr:rowOff>122260</xdr:rowOff>
    </xdr:to>
    <mc:AlternateContent xmlns:mc="http://schemas.openxmlformats.org/markup-compatibility/2006" xmlns:a14="http://schemas.microsoft.com/office/drawing/2010/main">
      <mc:Choice Requires="a14">
        <xdr:graphicFrame macro="">
          <xdr:nvGraphicFramePr>
            <xdr:cNvPr id="51" name="Department 1">
              <a:extLst>
                <a:ext uri="{FF2B5EF4-FFF2-40B4-BE49-F238E27FC236}">
                  <a16:creationId xmlns:a16="http://schemas.microsoft.com/office/drawing/2014/main" id="{E8358BC8-D61B-4A5D-ABC8-9FDBF713946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007954" y="7139484"/>
              <a:ext cx="1336912" cy="2649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147849</xdr:colOff>
      <xdr:row>37</xdr:row>
      <xdr:rowOff>2843</xdr:rowOff>
    </xdr:from>
    <xdr:to>
      <xdr:col>25</xdr:col>
      <xdr:colOff>398058</xdr:colOff>
      <xdr:row>50</xdr:row>
      <xdr:rowOff>105200</xdr:rowOff>
    </xdr:to>
    <mc:AlternateContent xmlns:mc="http://schemas.openxmlformats.org/markup-compatibility/2006" xmlns:a14="http://schemas.microsoft.com/office/drawing/2010/main">
      <mc:Choice Requires="a14">
        <xdr:graphicFrame macro="">
          <xdr:nvGraphicFramePr>
            <xdr:cNvPr id="52" name="Education Field 2">
              <a:extLst>
                <a:ext uri="{FF2B5EF4-FFF2-40B4-BE49-F238E27FC236}">
                  <a16:creationId xmlns:a16="http://schemas.microsoft.com/office/drawing/2014/main" id="{0D5AEB32-97DF-432A-AE9E-259DCC88441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5319610" y="7156544"/>
              <a:ext cx="1569493" cy="261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c:userShapes xmlns:c="http://schemas.openxmlformats.org/drawingml/2006/chart">
  <cdr:relSizeAnchor xmlns:cdr="http://schemas.openxmlformats.org/drawingml/2006/chartDrawing">
    <cdr:from>
      <cdr:x>0.43143</cdr:x>
      <cdr:y>0.46825</cdr:y>
    </cdr:from>
    <cdr:to>
      <cdr:x>0.56395</cdr:x>
      <cdr:y>0.60318</cdr:y>
    </cdr:to>
    <cdr:sp macro="" textlink="">
      <cdr:nvSpPr>
        <cdr:cNvPr id="2" name="TextBox 1">
          <a:extLst xmlns:a="http://schemas.openxmlformats.org/drawingml/2006/main">
            <a:ext uri="{FF2B5EF4-FFF2-40B4-BE49-F238E27FC236}">
              <a16:creationId xmlns:a16="http://schemas.microsoft.com/office/drawing/2014/main" id="{D1B153C3-C406-A74F-90A0-D1039DAC0A2B}"/>
            </a:ext>
          </a:extLst>
        </cdr:cNvPr>
        <cdr:cNvSpPr txBox="1"/>
      </cdr:nvSpPr>
      <cdr:spPr>
        <a:xfrm xmlns:a="http://schemas.openxmlformats.org/drawingml/2006/main">
          <a:off x="1147780" y="671016"/>
          <a:ext cx="352567" cy="19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0.5212</cdr:x>
      <cdr:y>0.45238</cdr:y>
    </cdr:from>
    <cdr:to>
      <cdr:x>0.66655</cdr:x>
      <cdr:y>0.66667</cdr:y>
    </cdr:to>
    <cdr:sp macro="" textlink="">
      <cdr:nvSpPr>
        <cdr:cNvPr id="3" name="TextBox 2">
          <a:extLst xmlns:a="http://schemas.openxmlformats.org/drawingml/2006/main">
            <a:ext uri="{FF2B5EF4-FFF2-40B4-BE49-F238E27FC236}">
              <a16:creationId xmlns:a16="http://schemas.microsoft.com/office/drawing/2014/main" id="{6416BD58-F788-4514-0C91-87B429BC92C5}"/>
            </a:ext>
          </a:extLst>
        </cdr:cNvPr>
        <cdr:cNvSpPr txBox="1"/>
      </cdr:nvSpPr>
      <cdr:spPr>
        <a:xfrm xmlns:a="http://schemas.openxmlformats.org/drawingml/2006/main">
          <a:off x="1386616" y="648270"/>
          <a:ext cx="386687" cy="3070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0.51266</cdr:x>
      <cdr:y>0.47619</cdr:y>
    </cdr:from>
    <cdr:to>
      <cdr:x>0.6751</cdr:x>
      <cdr:y>0.66667</cdr:y>
    </cdr:to>
    <cdr:sp macro="" textlink="">
      <cdr:nvSpPr>
        <cdr:cNvPr id="4" name="TextBox 3">
          <a:extLst xmlns:a="http://schemas.openxmlformats.org/drawingml/2006/main">
            <a:ext uri="{FF2B5EF4-FFF2-40B4-BE49-F238E27FC236}">
              <a16:creationId xmlns:a16="http://schemas.microsoft.com/office/drawing/2014/main" id="{79810384-1888-7305-7928-3CD3B733BCD2}"/>
            </a:ext>
          </a:extLst>
        </cdr:cNvPr>
        <cdr:cNvSpPr txBox="1"/>
      </cdr:nvSpPr>
      <cdr:spPr>
        <a:xfrm xmlns:a="http://schemas.openxmlformats.org/drawingml/2006/main">
          <a:off x="1363870" y="682389"/>
          <a:ext cx="432179" cy="2729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0.50411</cdr:x>
      <cdr:y>0.56349</cdr:y>
    </cdr:from>
    <cdr:to>
      <cdr:x>0.70503</cdr:x>
      <cdr:y>0.73016</cdr:y>
    </cdr:to>
    <cdr:sp macro="" textlink="Rating!$B$6">
      <cdr:nvSpPr>
        <cdr:cNvPr id="5" name="TextBox 4">
          <a:extLst xmlns:a="http://schemas.openxmlformats.org/drawingml/2006/main">
            <a:ext uri="{FF2B5EF4-FFF2-40B4-BE49-F238E27FC236}">
              <a16:creationId xmlns:a16="http://schemas.microsoft.com/office/drawing/2014/main" id="{56B146BC-54E2-0BA2-7956-07ED54F6C3DD}"/>
            </a:ext>
          </a:extLst>
        </cdr:cNvPr>
        <cdr:cNvSpPr txBox="1"/>
      </cdr:nvSpPr>
      <cdr:spPr>
        <a:xfrm xmlns:a="http://schemas.openxmlformats.org/drawingml/2006/main">
          <a:off x="1341124" y="807494"/>
          <a:ext cx="534537" cy="23883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D4A61A6F-23F4-4A84-BC6D-66738BF71919}" type="TxLink">
            <a:rPr lang="en-US" sz="1200" b="1" i="0" u="none" strike="noStrike" kern="1200">
              <a:solidFill>
                <a:schemeClr val="accent5">
                  <a:lumMod val="50000"/>
                </a:schemeClr>
              </a:solidFill>
              <a:latin typeface="Calibri"/>
              <a:ea typeface="Calibri"/>
              <a:cs typeface="Calibri"/>
            </a:rPr>
            <a:pPr/>
            <a:t>2.6</a:t>
          </a:fld>
          <a:endParaRPr lang="en-IN" sz="1100" b="1" kern="1200">
            <a:solidFill>
              <a:schemeClr val="accent5">
                <a:lumMod val="50000"/>
              </a:schemeClr>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0.2679</cdr:x>
      <cdr:y>0.32897</cdr:y>
    </cdr:from>
    <cdr:to>
      <cdr:x>0.59172</cdr:x>
      <cdr:y>0.52642</cdr:y>
    </cdr:to>
    <cdr:sp macro="" textlink="Gender!$B$8">
      <cdr:nvSpPr>
        <cdr:cNvPr id="2" name="TextBox 1">
          <a:extLst xmlns:a="http://schemas.openxmlformats.org/drawingml/2006/main">
            <a:ext uri="{FF2B5EF4-FFF2-40B4-BE49-F238E27FC236}">
              <a16:creationId xmlns:a16="http://schemas.microsoft.com/office/drawing/2014/main" id="{AD24CEF6-1061-F7F0-C3EB-B7BF0F81CF1E}"/>
            </a:ext>
          </a:extLst>
        </cdr:cNvPr>
        <cdr:cNvSpPr txBox="1"/>
      </cdr:nvSpPr>
      <cdr:spPr>
        <a:xfrm xmlns:a="http://schemas.openxmlformats.org/drawingml/2006/main">
          <a:off x="385776" y="473717"/>
          <a:ext cx="466299" cy="2843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107361AA-AC1C-40DA-8199-350D254F9A39}" type="TxLink">
            <a:rPr lang="en-US" sz="1400" b="1" i="0" u="none" strike="noStrike" kern="1200">
              <a:solidFill>
                <a:srgbClr val="000000"/>
              </a:solidFill>
              <a:latin typeface="Calibri"/>
              <a:ea typeface="Calibri"/>
              <a:cs typeface="Calibri"/>
            </a:rPr>
            <a:pPr/>
            <a:t>588</a:t>
          </a:fld>
          <a:endParaRPr lang="en-IN" sz="1400" b="1" kern="1200"/>
        </a:p>
      </cdr:txBody>
    </cdr:sp>
  </cdr:relSizeAnchor>
</c:userShapes>
</file>

<file path=xl/drawings/drawing13.xml><?xml version="1.0" encoding="utf-8"?>
<c:userShapes xmlns:c="http://schemas.openxmlformats.org/drawingml/2006/chart">
  <cdr:relSizeAnchor xmlns:cdr="http://schemas.openxmlformats.org/drawingml/2006/chartDrawing">
    <cdr:from>
      <cdr:x>0.37058</cdr:x>
      <cdr:y>0.40005</cdr:y>
    </cdr:from>
    <cdr:to>
      <cdr:x>0.74178</cdr:x>
      <cdr:y>0.64489</cdr:y>
    </cdr:to>
    <cdr:sp macro="" textlink="Gender!$B$9">
      <cdr:nvSpPr>
        <cdr:cNvPr id="2" name="TextBox 1">
          <a:extLst xmlns:a="http://schemas.openxmlformats.org/drawingml/2006/main">
            <a:ext uri="{FF2B5EF4-FFF2-40B4-BE49-F238E27FC236}">
              <a16:creationId xmlns:a16="http://schemas.microsoft.com/office/drawing/2014/main" id="{10224FF7-C085-929B-70F2-8F4A5EF02341}"/>
            </a:ext>
          </a:extLst>
        </cdr:cNvPr>
        <cdr:cNvSpPr txBox="1"/>
      </cdr:nvSpPr>
      <cdr:spPr>
        <a:xfrm xmlns:a="http://schemas.openxmlformats.org/drawingml/2006/main">
          <a:off x="533631" y="576076"/>
          <a:ext cx="534537" cy="3525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BF84C68-5556-4FF6-B74B-7569917529B9}" type="TxLink">
            <a:rPr lang="en-US" sz="1800" b="1" i="0" u="none" strike="noStrike" kern="1200">
              <a:solidFill>
                <a:srgbClr val="000000"/>
              </a:solidFill>
              <a:latin typeface="Calibri"/>
              <a:ea typeface="Calibri"/>
              <a:cs typeface="Calibri"/>
            </a:rPr>
            <a:pPr/>
            <a:t>882</a:t>
          </a:fld>
          <a:endParaRPr lang="en-IN" sz="1800" b="1" kern="1200"/>
        </a:p>
      </cdr:txBody>
    </cdr:sp>
  </cdr:relSizeAnchor>
</c:userShapes>
</file>

<file path=xl/drawings/drawing14.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9171"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0190" y="508828"/>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Sachan" refreshedDate="46148.782968634259" createdVersion="8" refreshedVersion="8" minRefreshableVersion="3" recordCount="1470" xr:uid="{1CE53179-57B4-4022-99D3-DA80A6D250A4}">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66474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AB4037-8548-49B9-A03F-B156E114D765}"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5">
    <format dxfId="8">
      <pivotArea dataOnly="0" labelOnly="1" outline="0" fieldPosition="0">
        <references count="1">
          <reference field="4294967294" count="1">
            <x v="0"/>
          </reference>
        </references>
      </pivotArea>
    </format>
    <format dxfId="7">
      <pivotArea dataOnly="0" labelOnly="1" outline="0" fieldPosition="0">
        <references count="1">
          <reference field="4294967294" count="1">
            <x v="0"/>
          </reference>
        </references>
      </pivotArea>
    </format>
    <format dxfId="6">
      <pivotArea dataOnly="0" labelOnly="1" outline="0" fieldPosition="0">
        <references count="1">
          <reference field="4294967294" count="1">
            <x v="0"/>
          </reference>
        </references>
      </pivotArea>
    </format>
    <format dxfId="5">
      <pivotArea dataOnly="0" labelOnly="1" outline="0" fieldPosition="0">
        <references count="1">
          <reference field="4294967294" count="1">
            <x v="1"/>
          </reference>
        </references>
      </pivotArea>
    </format>
    <format dxfId="4">
      <pivotArea dataOnly="0" labelOnly="1" outline="0" fieldPosition="0">
        <references count="1">
          <reference field="4294967294"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2F403-094E-496D-8F0F-06B91A860D30}"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4">
    <format dxfId="3">
      <pivotArea dataOnly="0" labelOnly="1" outline="0" axis="axisValues" fieldPosition="0"/>
    </format>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ADBB28-C8DF-43C2-9229-FF0B165C66C5}"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3841C8-AAE7-4859-ADF8-7C0DA0CD2C22}"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CE7197-3F55-4551-9337-8BEF72C9D357}"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97EF00-3FD2-4DBA-83F8-5018944F27DF}"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017124-E4D4-4E2B-98DF-CBC76A6B6446}"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7A723C-F1A6-488F-A7F8-248CF46DE88E}"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pivotField showAll="0"/>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EDC3A4-BE6D-43D7-AE34-ED1E68B872F8}" sourceName="Gender">
  <pivotTables>
    <pivotTable tabId="7" name="KPI"/>
  </pivotTables>
  <data>
    <tabular pivotCacheId="3664745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3512F37-C654-417B-808D-4DEA4F309064}" sourceName="Gender">
  <pivotTables>
    <pivotTable tabId="8" name="Rating"/>
  </pivotTables>
  <data>
    <tabular pivotCacheId="36647453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CFB4E38A-1CB5-4779-967D-FCF64B8343F1}" sourceName="Education Field">
  <pivotTables>
    <pivotTable tabId="8" name="Rating"/>
  </pivotTables>
  <data>
    <tabular pivotCacheId="366474537">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2897FB58-DE32-42D8-BF5D-D89E16F6B4F9}" sourceName="Gender">
  <pivotTables>
    <pivotTable tabId="9" name="Gender"/>
  </pivotTables>
  <data>
    <tabular pivotCacheId="36647453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A81B1C7-3512-4965-B72C-E62D1F0892BA}" sourceName="Department">
  <pivotTables>
    <pivotTable tabId="13" name="Attrition By Age Group"/>
  </pivotTables>
  <data>
    <tabular pivotCacheId="366474537">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BBCDE2D0-5F56-4FAE-853E-ADCB920BEADC}" sourceName="Education Field">
  <pivotTables>
    <pivotTable tabId="13" name="Attrition By Age Group"/>
  </pivotTables>
  <data>
    <tabular pivotCacheId="36647453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F8C85DE-D14C-459C-96B0-626A845DCFED}"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AF12B51-1B9E-4E92-8B48-9DF2112337B5}" cache="Slicer_Gender1" caption="Gender" rowHeight="260350"/>
  <slicer name="Education Field" xr10:uid="{6B76A1CD-CB90-485F-BC77-FE264F6A2F3B}" cache="Slicer_Education_Field"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BBF5E6D-AC69-465F-9062-342E90EE6933}" cache="Slicer_Gender2"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B80F3F3-86DE-4A55-A0EA-6A8260A8B659}" cache="Slicer_Department" caption="Department" rowHeight="260350"/>
  <slicer name="Education Field 1" xr10:uid="{B1761903-75AB-4015-983B-747193FACE4E}" cache="Slicer_Education_Field1"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2183CC94-601A-4A12-8C30-B1B13DA38041}" cache="Slicer_Gender2" caption="Gender" columnCount="2" rowHeight="260350"/>
  <slicer name="Department 1" xr10:uid="{34ED5A4F-9155-43C3-842B-56F03FF11CDE}" cache="Slicer_Department" caption="Department" rowHeight="260350"/>
  <slicer name="Education Field 2" xr10:uid="{6BE759BF-07D5-4B70-AED4-A24AA0826128}" cache="Slicer_Education_Field1"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6A7D-73B6-4975-9938-8BB257FB451C}">
  <dimension ref="A3:E7"/>
  <sheetViews>
    <sheetView workbookViewId="0">
      <selection activeCell="B14" sqref="B14"/>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3984375" bestFit="1" customWidth="1"/>
  </cols>
  <sheetData>
    <row r="3" spans="1:5" x14ac:dyDescent="0.3">
      <c r="A3" s="2" t="s">
        <v>1554</v>
      </c>
      <c r="B3" s="3" t="s">
        <v>1555</v>
      </c>
      <c r="C3" s="4" t="s">
        <v>1556</v>
      </c>
    </row>
    <row r="4" spans="1:5" x14ac:dyDescent="0.3">
      <c r="A4" s="20">
        <v>1470</v>
      </c>
      <c r="B4" s="21">
        <v>237</v>
      </c>
      <c r="C4" s="22">
        <v>36.923809523809524</v>
      </c>
    </row>
    <row r="6" spans="1:5" x14ac:dyDescent="0.3">
      <c r="A6" s="2" t="s">
        <v>1557</v>
      </c>
      <c r="B6" s="2" t="s">
        <v>1558</v>
      </c>
      <c r="C6" s="2" t="s">
        <v>1559</v>
      </c>
      <c r="D6" s="2" t="s">
        <v>1560</v>
      </c>
      <c r="E6" s="5" t="s">
        <v>1561</v>
      </c>
    </row>
    <row r="7" spans="1:5" x14ac:dyDescent="0.3">
      <c r="A7">
        <f>GETPIVOTDATA("Count of Employee Number",$A$3)</f>
        <v>1470</v>
      </c>
      <c r="B7">
        <f>GETPIVOTDATA("Sum of CF_attrition count",$A$3)</f>
        <v>237</v>
      </c>
      <c r="C7" s="6">
        <f>GETPIVOTDATA("Average of Age",$A$3)</f>
        <v>36.923809523809524</v>
      </c>
      <c r="D7">
        <f>A7-B7</f>
        <v>1233</v>
      </c>
      <c r="E7" s="7">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AE68D-9F8C-46E0-A9D6-047B5106077D}">
  <dimension ref="A3:D7"/>
  <sheetViews>
    <sheetView topLeftCell="M1" workbookViewId="0">
      <selection activeCell="G2" sqref="G2"/>
    </sheetView>
  </sheetViews>
  <sheetFormatPr defaultRowHeight="15.6" x14ac:dyDescent="0.3"/>
  <cols>
    <col min="1" max="1" width="23.69921875" bestFit="1" customWidth="1"/>
  </cols>
  <sheetData>
    <row r="3" spans="1:4" x14ac:dyDescent="0.3">
      <c r="A3" s="9" t="s">
        <v>1562</v>
      </c>
    </row>
    <row r="4" spans="1:4" x14ac:dyDescent="0.3">
      <c r="A4" s="10">
        <v>2.6265306122448981</v>
      </c>
    </row>
    <row r="6" spans="1:4" x14ac:dyDescent="0.3">
      <c r="A6" s="11" t="s">
        <v>1563</v>
      </c>
      <c r="B6" s="12">
        <f>GETPIVOTDATA("Job Satisfaction",$A$3)</f>
        <v>2.6265306122448981</v>
      </c>
      <c r="C6">
        <f>B6/4</f>
        <v>0.65663265306122454</v>
      </c>
    </row>
    <row r="7" spans="1:4" x14ac:dyDescent="0.3">
      <c r="A7" s="11" t="s">
        <v>1564</v>
      </c>
      <c r="B7" s="12">
        <f>4-B6</f>
        <v>1.3734693877551019</v>
      </c>
      <c r="C7">
        <f>B7/4</f>
        <v>0.34336734693877546</v>
      </c>
      <c r="D7" s="11" t="s">
        <v>1565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B2B8-D967-4C4C-B45C-9BA7AF43F670}">
  <dimension ref="A3:C9"/>
  <sheetViews>
    <sheetView workbookViewId="0">
      <selection activeCell="F10" sqref="F10"/>
    </sheetView>
  </sheetViews>
  <sheetFormatPr defaultRowHeight="15.6" x14ac:dyDescent="0.3"/>
  <cols>
    <col min="1" max="1" width="12.19921875" bestFit="1" customWidth="1"/>
    <col min="2" max="2" width="22.796875" bestFit="1" customWidth="1"/>
  </cols>
  <sheetData>
    <row r="3" spans="1:3" x14ac:dyDescent="0.3">
      <c r="A3" s="13" t="s">
        <v>1566</v>
      </c>
      <c r="B3" s="8" t="s">
        <v>1568</v>
      </c>
    </row>
    <row r="4" spans="1:3" x14ac:dyDescent="0.3">
      <c r="A4" s="14" t="s">
        <v>51</v>
      </c>
      <c r="B4" s="8">
        <v>588</v>
      </c>
    </row>
    <row r="5" spans="1:3" x14ac:dyDescent="0.3">
      <c r="A5" s="15" t="s">
        <v>62</v>
      </c>
      <c r="B5" s="19">
        <v>882</v>
      </c>
    </row>
    <row r="6" spans="1:3" x14ac:dyDescent="0.3">
      <c r="A6" s="16" t="s">
        <v>1567</v>
      </c>
      <c r="B6" s="18">
        <v>1470</v>
      </c>
    </row>
    <row r="8" spans="1:3" x14ac:dyDescent="0.3">
      <c r="A8" s="17" t="s">
        <v>51</v>
      </c>
      <c r="B8">
        <f>IFERROR(GETPIVOTDATA("Employee Count",$A$3,"Gender","Female"),0)</f>
        <v>588</v>
      </c>
      <c r="C8" s="7">
        <f>IFERROR(B8/($B$8+$B$9),0)</f>
        <v>0.4</v>
      </c>
    </row>
    <row r="9" spans="1:3" x14ac:dyDescent="0.3">
      <c r="A9" s="17" t="s">
        <v>62</v>
      </c>
      <c r="B9">
        <f>IFERROR(GETPIVOTDATA("Employee Count",$A$3,"Gender","Male"),0)</f>
        <v>882</v>
      </c>
      <c r="C9" s="7">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F427F-52FF-4B99-AF40-787E68F1671D}">
  <dimension ref="A1"/>
  <sheetViews>
    <sheetView workbookViewId="0"/>
  </sheetViews>
  <sheetFormatPr defaultRowHeight="15.6"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B3C9-4056-4A42-8212-493F37E38F06}">
  <dimension ref="A3:B9"/>
  <sheetViews>
    <sheetView workbookViewId="0">
      <selection activeCell="M12" sqref="M12"/>
    </sheetView>
  </sheetViews>
  <sheetFormatPr defaultRowHeight="15.6" x14ac:dyDescent="0.3"/>
  <cols>
    <col min="1" max="1" width="16" bestFit="1" customWidth="1"/>
    <col min="2" max="2" width="22.796875" bestFit="1" customWidth="1"/>
  </cols>
  <sheetData>
    <row r="3" spans="1:2" x14ac:dyDescent="0.3">
      <c r="A3" s="13" t="s">
        <v>1566</v>
      </c>
      <c r="B3" s="8" t="s">
        <v>1555</v>
      </c>
    </row>
    <row r="4" spans="1:2" x14ac:dyDescent="0.3">
      <c r="A4" s="14" t="s">
        <v>134</v>
      </c>
      <c r="B4" s="8">
        <v>5</v>
      </c>
    </row>
    <row r="5" spans="1:2" x14ac:dyDescent="0.3">
      <c r="A5" s="15" t="s">
        <v>65</v>
      </c>
      <c r="B5" s="19">
        <v>31</v>
      </c>
    </row>
    <row r="6" spans="1:2" x14ac:dyDescent="0.3">
      <c r="A6" s="15" t="s">
        <v>55</v>
      </c>
      <c r="B6" s="19">
        <v>44</v>
      </c>
    </row>
    <row r="7" spans="1:2" x14ac:dyDescent="0.3">
      <c r="A7" s="15" t="s">
        <v>71</v>
      </c>
      <c r="B7" s="19">
        <v>58</v>
      </c>
    </row>
    <row r="8" spans="1:2" x14ac:dyDescent="0.3">
      <c r="A8" s="15" t="s">
        <v>77</v>
      </c>
      <c r="B8" s="19">
        <v>99</v>
      </c>
    </row>
    <row r="9" spans="1:2" x14ac:dyDescent="0.3">
      <c r="A9" s="16" t="s">
        <v>1567</v>
      </c>
      <c r="B9" s="1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8DB7-114F-4683-B716-37F5C7CF726D}">
  <dimension ref="A3:E13"/>
  <sheetViews>
    <sheetView workbookViewId="0">
      <selection activeCell="D17" sqref="D17"/>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3" t="s">
        <v>1566</v>
      </c>
      <c r="B3" s="8" t="s">
        <v>1555</v>
      </c>
      <c r="D3" t="s">
        <v>9</v>
      </c>
      <c r="E3" t="s">
        <v>0</v>
      </c>
    </row>
    <row r="4" spans="1:5" x14ac:dyDescent="0.3">
      <c r="A4" s="14" t="s">
        <v>83</v>
      </c>
      <c r="B4" s="8">
        <v>9</v>
      </c>
      <c r="D4" t="str">
        <f>A4</f>
        <v>Healthcare Representative</v>
      </c>
      <c r="E4">
        <f>GETPIVOTDATA("CF_attrition count",$A$3,"Job Role",A4)</f>
        <v>9</v>
      </c>
    </row>
    <row r="5" spans="1:5" x14ac:dyDescent="0.3">
      <c r="A5" s="15" t="s">
        <v>163</v>
      </c>
      <c r="B5" s="19">
        <v>12</v>
      </c>
      <c r="D5" t="str">
        <f t="shared" ref="D5:D12" si="0">A5</f>
        <v>Human Resources</v>
      </c>
      <c r="E5">
        <f t="shared" ref="E5:E12" si="1">GETPIVOTDATA("CF_attrition count",$A$3,"Job Role",A5)</f>
        <v>12</v>
      </c>
    </row>
    <row r="6" spans="1:5" x14ac:dyDescent="0.3">
      <c r="A6" s="15" t="s">
        <v>68</v>
      </c>
      <c r="B6" s="19">
        <v>62</v>
      </c>
      <c r="D6" t="str">
        <f t="shared" si="0"/>
        <v>Laboratory Technician</v>
      </c>
      <c r="E6">
        <f t="shared" si="1"/>
        <v>62</v>
      </c>
    </row>
    <row r="7" spans="1:5" x14ac:dyDescent="0.3">
      <c r="A7" s="15" t="s">
        <v>95</v>
      </c>
      <c r="B7" s="19">
        <v>5</v>
      </c>
      <c r="D7" t="str">
        <f t="shared" si="0"/>
        <v>Manager</v>
      </c>
      <c r="E7">
        <f t="shared" si="1"/>
        <v>5</v>
      </c>
    </row>
    <row r="8" spans="1:5" x14ac:dyDescent="0.3">
      <c r="A8" s="15" t="s">
        <v>81</v>
      </c>
      <c r="B8" s="19">
        <v>10</v>
      </c>
      <c r="D8" t="str">
        <f t="shared" si="0"/>
        <v>Manufacturing Director</v>
      </c>
      <c r="E8">
        <f t="shared" si="1"/>
        <v>10</v>
      </c>
    </row>
    <row r="9" spans="1:5" x14ac:dyDescent="0.3">
      <c r="A9" s="15" t="s">
        <v>101</v>
      </c>
      <c r="B9" s="19">
        <v>2</v>
      </c>
      <c r="D9" t="str">
        <f t="shared" si="0"/>
        <v>Research Director</v>
      </c>
      <c r="E9">
        <f t="shared" si="1"/>
        <v>2</v>
      </c>
    </row>
    <row r="10" spans="1:5" x14ac:dyDescent="0.3">
      <c r="A10" s="15" t="s">
        <v>63</v>
      </c>
      <c r="B10" s="19">
        <v>47</v>
      </c>
      <c r="D10" t="str">
        <f t="shared" si="0"/>
        <v>Research Scientist</v>
      </c>
      <c r="E10">
        <f t="shared" si="1"/>
        <v>47</v>
      </c>
    </row>
    <row r="11" spans="1:5" x14ac:dyDescent="0.3">
      <c r="A11" s="15" t="s">
        <v>52</v>
      </c>
      <c r="B11" s="19">
        <v>57</v>
      </c>
      <c r="D11" t="str">
        <f t="shared" si="0"/>
        <v>Sales Executive</v>
      </c>
      <c r="E11">
        <f t="shared" si="1"/>
        <v>57</v>
      </c>
    </row>
    <row r="12" spans="1:5" x14ac:dyDescent="0.3">
      <c r="A12" s="15" t="s">
        <v>99</v>
      </c>
      <c r="B12" s="19">
        <v>33</v>
      </c>
      <c r="D12" t="str">
        <f t="shared" si="0"/>
        <v>Sales Representative</v>
      </c>
      <c r="E12">
        <f t="shared" si="1"/>
        <v>33</v>
      </c>
    </row>
    <row r="13" spans="1:5" x14ac:dyDescent="0.3">
      <c r="A13" s="16" t="s">
        <v>1567</v>
      </c>
      <c r="B13" s="18">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A29B-F020-44CB-8B38-A7D9046DA3E8}">
  <dimension ref="A3:B7"/>
  <sheetViews>
    <sheetView workbookViewId="0">
      <selection activeCell="J13" sqref="J13"/>
    </sheetView>
  </sheetViews>
  <sheetFormatPr defaultRowHeight="15.6" x14ac:dyDescent="0.3"/>
  <cols>
    <col min="1" max="1" width="12.19921875" bestFit="1" customWidth="1"/>
    <col min="2" max="2" width="22.796875" bestFit="1" customWidth="1"/>
  </cols>
  <sheetData>
    <row r="3" spans="1:2" x14ac:dyDescent="0.3">
      <c r="A3" s="13" t="s">
        <v>1566</v>
      </c>
      <c r="B3" s="8" t="s">
        <v>1555</v>
      </c>
    </row>
    <row r="4" spans="1:2" x14ac:dyDescent="0.3">
      <c r="A4" s="14" t="s">
        <v>161</v>
      </c>
      <c r="B4" s="23">
        <v>5.0632911392405063E-2</v>
      </c>
    </row>
    <row r="5" spans="1:2" x14ac:dyDescent="0.3">
      <c r="A5" s="15" t="s">
        <v>60</v>
      </c>
      <c r="B5" s="24">
        <v>0.56118143459915615</v>
      </c>
    </row>
    <row r="6" spans="1:2" x14ac:dyDescent="0.3">
      <c r="A6" s="15" t="s">
        <v>48</v>
      </c>
      <c r="B6" s="24">
        <v>0.3881856540084388</v>
      </c>
    </row>
    <row r="7" spans="1:2" x14ac:dyDescent="0.3">
      <c r="A7" s="16" t="s">
        <v>1567</v>
      </c>
      <c r="B7" s="2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78-549B-4292-8B30-FFC6DB56343C}">
  <dimension ref="A3:B9"/>
  <sheetViews>
    <sheetView tabSelected="1" workbookViewId="0">
      <selection activeCell="F3" sqref="F3"/>
    </sheetView>
  </sheetViews>
  <sheetFormatPr defaultRowHeight="15.6" x14ac:dyDescent="0.3"/>
  <cols>
    <col min="1" max="1" width="12.19921875" bestFit="1" customWidth="1"/>
    <col min="2" max="2" width="22.796875" bestFit="1" customWidth="1"/>
  </cols>
  <sheetData>
    <row r="3" spans="1:2" x14ac:dyDescent="0.3">
      <c r="A3" s="13" t="s">
        <v>1566</v>
      </c>
      <c r="B3" s="8" t="s">
        <v>1555</v>
      </c>
    </row>
    <row r="4" spans="1:2" x14ac:dyDescent="0.3">
      <c r="A4" s="14" t="s">
        <v>69</v>
      </c>
      <c r="B4" s="8">
        <v>112</v>
      </c>
    </row>
    <row r="5" spans="1:2" x14ac:dyDescent="0.3">
      <c r="A5" s="15" t="s">
        <v>46</v>
      </c>
      <c r="B5" s="19">
        <v>51</v>
      </c>
    </row>
    <row r="6" spans="1:2" x14ac:dyDescent="0.3">
      <c r="A6" s="15" t="s">
        <v>92</v>
      </c>
      <c r="B6" s="19">
        <v>38</v>
      </c>
    </row>
    <row r="7" spans="1:2" x14ac:dyDescent="0.3">
      <c r="A7" s="15" t="s">
        <v>58</v>
      </c>
      <c r="B7" s="19">
        <v>25</v>
      </c>
    </row>
    <row r="8" spans="1:2" x14ac:dyDescent="0.3">
      <c r="A8" s="15" t="s">
        <v>75</v>
      </c>
      <c r="B8" s="19">
        <v>11</v>
      </c>
    </row>
    <row r="9" spans="1:2" x14ac:dyDescent="0.3">
      <c r="A9" s="16" t="s">
        <v>1567</v>
      </c>
      <c r="B9" s="1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C9C1E-93DC-4F29-97D1-DC84243C2718}">
  <dimension ref="A3:E7"/>
  <sheetViews>
    <sheetView workbookViewId="0">
      <selection activeCell="Q8" sqref="Q8"/>
    </sheetView>
  </sheetViews>
  <sheetFormatPr defaultRowHeight="15.6" x14ac:dyDescent="0.3"/>
  <cols>
    <col min="1" max="1" width="12.19921875" bestFit="1" customWidth="1"/>
    <col min="2" max="2" width="16" bestFit="1" customWidth="1"/>
    <col min="4" max="4" width="12.69921875" bestFit="1" customWidth="1"/>
    <col min="5" max="5" width="8.09765625" bestFit="1" customWidth="1"/>
  </cols>
  <sheetData>
    <row r="3" spans="1:5" x14ac:dyDescent="0.3">
      <c r="A3" s="13" t="s">
        <v>1566</v>
      </c>
      <c r="B3" s="8" t="s">
        <v>1569</v>
      </c>
      <c r="D3" t="s">
        <v>10</v>
      </c>
      <c r="E3" t="s">
        <v>0</v>
      </c>
    </row>
    <row r="4" spans="1:5" x14ac:dyDescent="0.3">
      <c r="A4" s="14" t="s">
        <v>79</v>
      </c>
      <c r="B4" s="8">
        <v>327</v>
      </c>
      <c r="D4" t="str">
        <f>A4</f>
        <v>Divorced</v>
      </c>
      <c r="E4">
        <f>GETPIVOTDATA("Attrition",$A$3,"Marital Status",A4)</f>
        <v>327</v>
      </c>
    </row>
    <row r="5" spans="1:5" x14ac:dyDescent="0.3">
      <c r="A5" s="15" t="s">
        <v>53</v>
      </c>
      <c r="B5" s="19">
        <v>470</v>
      </c>
      <c r="D5" t="str">
        <f t="shared" ref="D5:D6" si="0">A5</f>
        <v>Single</v>
      </c>
      <c r="E5">
        <f t="shared" ref="E5:E6" si="1">GETPIVOTDATA("Attrition",$A$3,"Marital Status",A5)</f>
        <v>470</v>
      </c>
    </row>
    <row r="6" spans="1:5" x14ac:dyDescent="0.3">
      <c r="A6" s="15" t="s">
        <v>64</v>
      </c>
      <c r="B6" s="19">
        <v>673</v>
      </c>
      <c r="D6" t="str">
        <f t="shared" si="0"/>
        <v>Married</v>
      </c>
      <c r="E6">
        <f t="shared" si="1"/>
        <v>673</v>
      </c>
    </row>
    <row r="7" spans="1:5" x14ac:dyDescent="0.3">
      <c r="A7" s="16" t="s">
        <v>1567</v>
      </c>
      <c r="B7" s="18">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activeCell="B5" sqref="B5"/>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G20" sqref="G20"/>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D33"/>
  <sheetViews>
    <sheetView topLeftCell="A28" zoomScale="67" workbookViewId="0">
      <selection activeCell="AD43" sqref="AD43"/>
    </sheetView>
  </sheetViews>
  <sheetFormatPr defaultColWidth="11.19921875" defaultRowHeight="15" customHeight="1" x14ac:dyDescent="0.3"/>
  <cols>
    <col min="1" max="26" width="8.59765625" customWidth="1"/>
  </cols>
  <sheetData>
    <row r="1" ht="15.6" x14ac:dyDescent="0.3"/>
    <row r="2" ht="15.6" x14ac:dyDescent="0.3"/>
    <row r="3" ht="15.6" x14ac:dyDescent="0.3"/>
    <row r="4" ht="15.6" x14ac:dyDescent="0.3"/>
    <row r="5" ht="15.6" x14ac:dyDescent="0.3"/>
    <row r="6" ht="15.6" x14ac:dyDescent="0.3"/>
    <row r="7" ht="15.6" x14ac:dyDescent="0.3"/>
    <row r="8" ht="15.6" x14ac:dyDescent="0.3"/>
    <row r="9" ht="15.6" x14ac:dyDescent="0.3"/>
    <row r="10" ht="15.6" x14ac:dyDescent="0.3"/>
    <row r="11" ht="15.6" x14ac:dyDescent="0.3"/>
    <row r="12" ht="15.6" x14ac:dyDescent="0.3"/>
    <row r="13" customFormat="1" ht="15.6" x14ac:dyDescent="0.3"/>
    <row r="14" ht="15.6" x14ac:dyDescent="0.3"/>
    <row r="15" ht="15.6" x14ac:dyDescent="0.3"/>
    <row r="16" ht="15.6" x14ac:dyDescent="0.3"/>
    <row r="17" spans="30:30" ht="15.6" x14ac:dyDescent="0.3"/>
    <row r="18" spans="30:30" ht="15.6" x14ac:dyDescent="0.3"/>
    <row r="19" spans="30:30" ht="15.6" x14ac:dyDescent="0.3"/>
    <row r="20" spans="30:30" ht="15.6" x14ac:dyDescent="0.3"/>
    <row r="32" spans="30:30" ht="15" customHeight="1" x14ac:dyDescent="0.3">
      <c r="AD32" t="s">
        <v>1565</v>
      </c>
    </row>
    <row r="33" spans="2:2" ht="15" customHeight="1" x14ac:dyDescent="0.3">
      <c r="B33" t="s">
        <v>1565</v>
      </c>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76"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topLeftCell="B1" zoomScale="69"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KPI</vt:lpstr>
      <vt:lpstr>Rating</vt:lpstr>
      <vt:lpstr>Gender</vt:lpstr>
      <vt:lpstr>Sheet1</vt:lpstr>
      <vt:lpstr>Education By Attrition</vt:lpstr>
      <vt:lpstr>Attrition By Job</vt:lpstr>
      <vt:lpstr>Dept Wise Attrition</vt:lpstr>
      <vt:lpstr>Attrition By Age Group</vt:lpstr>
      <vt:lpstr>Marital Status</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Arun Sachan</cp:lastModifiedBy>
  <dcterms:created xsi:type="dcterms:W3CDTF">2022-12-29T16:02:46Z</dcterms:created>
  <dcterms:modified xsi:type="dcterms:W3CDTF">2026-08-02T13:42:34Z</dcterms:modified>
</cp:coreProperties>
</file>